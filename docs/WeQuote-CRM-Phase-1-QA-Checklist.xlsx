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Test Plan" sheetId="2" state="visible" r:id="rId2"/>
    <sheet name="Summary" sheetId="3" state="visible" r:id="rId3"/>
    <sheet name="Delivery gate" sheetId="4" state="visible" r:id="rId4"/>
    <sheet name="Traceability" sheetId="5" state="visible" r:id="rId5"/>
    <sheet name="Use Case Coverage" sheetId="6" state="visible" r:id="rId6"/>
    <sheet name="Phase 1A" sheetId="7" state="visible" r:id="rId7"/>
    <sheet name="Phase 1B" sheetId="8" state="visible" r:id="rId8"/>
    <sheet name="Recipe coverage" sheetId="9" state="visible" r:id="rId9"/>
    <sheet name="Phase 1C" sheetId="10" state="visible" r:id="rId10"/>
    <sheet name="Regression" sheetId="11" state="visible" r:id="rId11"/>
    <sheet name="Non-functional" sheetId="12" state="visible" r:id="rId12"/>
    <sheet name="Test Runs" sheetId="13" state="visible" r:id="rId13"/>
  </sheets>
  <definedNames>
    <definedName name="_xlnm._FilterDatabase" localSheetId="3" hidden="1">'Delivery gate'!$A$4:$J$54</definedName>
    <definedName name="_xlnm._FilterDatabase" localSheetId="4" hidden="1">'Traceability'!$A$4:$J$27</definedName>
    <definedName name="_xlnm._FilterDatabase" localSheetId="5" hidden="1">'Use Case Coverage'!$A$4:$Y$24</definedName>
    <definedName name="_xlnm._FilterDatabase" localSheetId="6" hidden="1">'Phase 1A'!$A$4:$V$76</definedName>
    <definedName name="_xlnm._FilterDatabase" localSheetId="7" hidden="1">'Phase 1B'!$A$4:$V$29</definedName>
    <definedName name="_xlnm._FilterDatabase" localSheetId="8" hidden="1">'Recipe coverage'!$A$4:$N$16</definedName>
    <definedName name="_xlnm._FilterDatabase" localSheetId="9" hidden="1">'Phase 1C'!$A$4:$V$43</definedName>
    <definedName name="_xlnm._FilterDatabase" localSheetId="10" hidden="1">'Regression'!$A$4:$V$10</definedName>
    <definedName name="_xlnm._FilterDatabase" localSheetId="11" hidden="1">'Non-functional'!$A$4:$V$20</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color rgb="00595959"/>
      <sz val="10"/>
    </font>
    <font>
      <name val="Arial"/>
      <b val="1"/>
      <color rgb="00FFFFFF"/>
      <sz val="10"/>
    </font>
    <font>
      <name val="Arial"/>
      <sz val="10"/>
    </font>
    <font>
      <name val="Arial"/>
      <b val="1"/>
      <sz val="10"/>
    </font>
    <font>
      <name val="Arial"/>
      <b val="1"/>
      <color rgb="009A3BA3"/>
      <sz val="10"/>
    </font>
    <font>
      <name val="Arial"/>
      <b val="1"/>
      <color rgb="001B2A41"/>
      <sz val="11"/>
    </font>
  </fonts>
  <fills count="5">
    <fill>
      <patternFill/>
    </fill>
    <fill>
      <patternFill patternType="gray125"/>
    </fill>
    <fill>
      <patternFill patternType="solid">
        <fgColor rgb="001B2A41"/>
      </patternFill>
    </fill>
    <fill>
      <patternFill patternType="solid">
        <fgColor rgb="00EFF1F5"/>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horizontal="center" vertical="top"/>
    </xf>
    <xf numFmtId="0" fontId="4" fillId="3" borderId="1" applyAlignment="1" pivotButton="0" quotePrefix="0" xfId="0">
      <alignment vertical="top" wrapText="1"/>
    </xf>
    <xf numFmtId="0" fontId="5" fillId="0" borderId="1" pivotButton="0" quotePrefix="0" xfId="0"/>
    <xf numFmtId="0" fontId="4" fillId="0" borderId="1" applyAlignment="1" pivotButton="0" quotePrefix="0" xfId="0">
      <alignment horizontal="left" vertical="center"/>
    </xf>
    <xf numFmtId="0" fontId="4" fillId="0" borderId="1" pivotButton="0" quotePrefix="0" xfId="0"/>
    <xf numFmtId="0" fontId="2" fillId="0" borderId="1" applyAlignment="1" pivotButton="0" quotePrefix="0" xfId="0">
      <alignment horizontal="left" vertical="center"/>
    </xf>
    <xf numFmtId="0" fontId="5" fillId="3" borderId="1" pivotButton="0" quotePrefix="0" xfId="0"/>
    <xf numFmtId="0" fontId="5" fillId="3" borderId="1" applyAlignment="1" pivotButton="0" quotePrefix="0" xfId="0">
      <alignment horizontal="center" vertical="top"/>
    </xf>
    <xf numFmtId="0" fontId="5" fillId="4" borderId="1" applyAlignment="1" pivotButton="0" quotePrefix="0" xfId="0">
      <alignment horizontal="left" vertical="center"/>
    </xf>
    <xf numFmtId="0" fontId="5" fillId="0" borderId="0" pivotButton="0" quotePrefix="0" xfId="0"/>
    <xf numFmtId="0" fontId="4" fillId="0" borderId="0" pivotButton="0" quotePrefix="0" xfId="0"/>
    <xf numFmtId="0" fontId="5" fillId="0" borderId="1" applyAlignment="1" pivotButton="0" quotePrefix="0" xfId="0">
      <alignment horizontal="center"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3" fillId="2" borderId="1" applyAlignment="1" pivotButton="0" quotePrefix="0" xfId="0">
      <alignment horizontal="center" vertical="top"/>
    </xf>
    <xf numFmtId="0" fontId="4" fillId="0" borderId="0" applyAlignment="1" pivotButton="0" quotePrefix="0" xfId="0">
      <alignment vertical="top" wrapText="1"/>
    </xf>
    <xf numFmtId="0" fontId="4" fillId="4" borderId="0" applyAlignment="1" pivotButton="0" quotePrefix="0" xfId="0">
      <alignment vertical="top" wrapText="1"/>
    </xf>
    <xf numFmtId="0" fontId="6" fillId="3" borderId="1" applyAlignment="1" pivotButton="0" quotePrefix="0" xfId="0">
      <alignment vertical="top" wrapText="1"/>
    </xf>
    <xf numFmtId="0" fontId="5" fillId="4" borderId="0" pivotButton="0" quotePrefix="0" xfId="0"/>
    <xf numFmtId="0" fontId="2" fillId="0" borderId="0" applyAlignment="1" pivotButton="0" quotePrefix="0" xfId="0">
      <alignment vertical="top" wrapText="1"/>
    </xf>
    <xf numFmtId="0" fontId="7" fillId="3" borderId="1" pivotButton="0" quotePrefix="0" xfId="0"/>
    <xf numFmtId="0" fontId="0" fillId="3" borderId="1" pivotButton="0" quotePrefix="0" xfId="0"/>
    <xf numFmtId="0" fontId="0" fillId="0" borderId="1" pivotButton="0" quotePrefix="0" xfId="0"/>
    <xf numFmtId="0" fontId="4" fillId="4" borderId="1" applyAlignment="1" pivotButton="0" quotePrefix="0" xfId="0">
      <alignment vertical="top"/>
    </xf>
    <xf numFmtId="0" fontId="4" fillId="4" borderId="1" applyAlignment="1" pivotButton="0" quotePrefix="0" xfId="0">
      <alignment horizontal="center" vertical="top"/>
    </xf>
    <xf numFmtId="0" fontId="4" fillId="4" borderId="1" applyAlignment="1" pivotButton="0" quotePrefix="0" xfId="0">
      <alignment vertical="top" wrapText="1"/>
    </xf>
  </cellXfs>
  <cellStyles count="1">
    <cellStyle name="Normal" xfId="0" builtinId="0" hidden="0"/>
  </cellStyles>
  <dxfs count="8">
    <dxf>
      <font>
        <name val="Arial"/>
        <color rgb="00006100"/>
        <sz val="10"/>
      </font>
      <fill>
        <patternFill patternType="solid">
          <fgColor rgb="00C6EFCE"/>
          <bgColor rgb="00C6EFCE"/>
        </patternFill>
      </fill>
    </dxf>
    <dxf>
      <font>
        <name val="Arial"/>
        <b val="1"/>
        <color rgb="009C0006"/>
        <sz val="10"/>
      </font>
      <fill>
        <patternFill patternType="solid">
          <fgColor rgb="00FFC7CE"/>
          <bgColor rgb="00FFC7CE"/>
        </patternFill>
      </fill>
    </dxf>
    <dxf>
      <font>
        <name val="Arial"/>
        <b val="1"/>
        <color rgb="008A4B00"/>
        <sz val="10"/>
      </font>
      <fill>
        <patternFill patternType="solid">
          <fgColor rgb="00FFE0B2"/>
          <bgColor rgb="00FFE0B2"/>
        </patternFill>
      </fill>
    </dxf>
    <dxf>
      <font>
        <name val="Arial"/>
        <color rgb="00595959"/>
        <sz val="10"/>
      </font>
      <fill>
        <patternFill patternType="solid">
          <fgColor rgb="00E7E6E6"/>
          <bgColor rgb="00E7E6E6"/>
        </patternFill>
      </fill>
    </dxf>
    <dxf>
      <font>
        <name val="Arial"/>
        <color rgb="00808080"/>
        <sz val="10"/>
      </font>
      <fill>
        <patternFill patternType="solid">
          <fgColor rgb="00F2F2F2"/>
          <bgColor rgb="00F2F2F2"/>
        </patternFill>
      </fill>
    </dxf>
    <dxf>
      <font>
        <name val="Arial"/>
        <color rgb="009C0006"/>
        <sz val="10"/>
      </font>
      <fill>
        <patternFill patternType="solid">
          <fgColor rgb="00FFC7CE"/>
          <bgColor rgb="00FFC7CE"/>
        </patternFill>
      </fill>
    </dxf>
    <dxf>
      <font>
        <name val="Arial"/>
        <color rgb="007F6000"/>
        <sz val="10"/>
      </font>
      <fill>
        <patternFill patternType="solid">
          <fgColor rgb="00FFF2CC"/>
          <bgColor rgb="00FFF2CC"/>
        </patternFill>
      </fill>
    </dxf>
    <dxf>
      <font>
        <name val="Arial"/>
        <color rgb="008A4B00"/>
        <sz val="10"/>
      </font>
      <fill>
        <patternFill patternType="solid">
          <fgColor rgb="00FFE0B2"/>
          <bgColor rgb="00FFE0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4" customWidth="1" min="1" max="1"/>
    <col width="100" customWidth="1" min="2" max="2"/>
  </cols>
  <sheetData>
    <row r="1">
      <c r="A1" s="1" t="inlineStr">
        <is>
          <t>WeQuote CRM — Phase 1 QA checklist</t>
        </is>
      </c>
    </row>
    <row r="2">
      <c r="A2" s="17" t="inlineStr">
        <is>
          <t>Source</t>
        </is>
      </c>
      <c r="B2" s="23" t="inlineStr">
        <is>
          <t>Derived from WeQuote-CRM-Phase-1-PRD.html — acceptance criteria (§B3), requirements (§B2) and the delivery gate (§A15).</t>
        </is>
      </c>
    </row>
    <row r="3">
      <c r="A3" s="17" t="inlineStr"/>
      <c r="B3" s="23" t="inlineStr"/>
    </row>
    <row r="4">
      <c r="A4" s="17" t="inlineStr">
        <is>
          <t>Sheets</t>
        </is>
      </c>
      <c r="B4" s="23" t="inlineStr">
        <is>
          <t>Test Plan · Summary · Delivery gate · Traceability · Use Case Coverage · Phase 1A / 1B / 1C · Recipe coverage · Regression · Non-functional · Test Runs</t>
        </is>
      </c>
    </row>
    <row r="5">
      <c r="A5" s="17" t="inlineStr">
        <is>
          <t>What is in here</t>
        </is>
      </c>
      <c r="B5" s="23" t="inlineStr">
        <is>
          <t>Five separate populations: core functional cases, regression cases, non-functional cases, end-to-end journeys, and the recipe matrix. The Summary counts each one. Do not quote a single number for the whole plan.</t>
        </is>
      </c>
    </row>
    <row r="6">
      <c r="A6" s="17" t="inlineStr">
        <is>
          <t>End-to-end journeys</t>
        </is>
      </c>
      <c r="B6" s="23" t="inlineStr">
        <is>
          <t>On Use Case Coverage. Each one is a test you run start to finish and record in Status. The three columns on the right read the granular cases behind it — those passing is a readiness hint, not proof the journey ran.</t>
        </is>
      </c>
    </row>
    <row r="7">
      <c r="A7" s="17" t="inlineStr">
        <is>
          <t>Non-functional</t>
        </is>
      </c>
      <c r="B7" s="23" t="inlineStr">
        <is>
          <t>Concurrency, event order, partial failure, performance, permissions, accessibility, browsers, audit, recovery. Each names the release it gates in Applies from, and the Summary counts it into that release.</t>
        </is>
      </c>
    </row>
    <row r="8" ht="28" customHeight="1">
      <c r="A8" s="17" t="inlineStr">
        <is>
          <t>Fill in</t>
        </is>
      </c>
      <c r="B8" s="23" t="inlineStr">
        <is>
          <t>Status onwards. Everything left of Status describes the test and should not be edited.</t>
        </is>
      </c>
    </row>
    <row r="9" ht="28" customHeight="1">
      <c r="A9" s="17" t="inlineStr">
        <is>
          <t>Status values</t>
        </is>
      </c>
      <c r="B9" s="23" t="inlineStr">
        <is>
          <t>Not run · Pass · Fail · Blocked · N/A</t>
        </is>
      </c>
    </row>
    <row r="10" ht="28" customHeight="1">
      <c r="A10" s="17" t="inlineStr">
        <is>
          <t>What blocks a release</t>
        </is>
      </c>
      <c r="B10" s="23" t="inlineStr">
        <is>
          <t>Fail, Blocked and Not run block. Pass and N/A do not.</t>
        </is>
      </c>
    </row>
    <row r="11">
      <c r="A11" s="17" t="inlineStr">
        <is>
          <t>Using N/A</t>
        </is>
      </c>
      <c r="B11" s="23" t="inlineStr">
        <is>
          <t>Only for a test that cannot apply to this release. It must carry a reason in Notes AND a name in 'Waiver approved by'. The Summary counts every N/A missing either one.</t>
        </is>
      </c>
    </row>
    <row r="12">
      <c r="A12" s="17" t="inlineStr">
        <is>
          <t>Applies from</t>
        </is>
      </c>
      <c r="B12" s="23" t="inlineStr">
        <is>
          <t>On Regression, the earliest release a rule can be tested in. A Phase 1A gate only counts rules that apply from Phase 1A.</t>
        </is>
      </c>
    </row>
    <row r="13">
      <c r="A13" s="17" t="inlineStr">
        <is>
          <t>Method</t>
        </is>
      </c>
      <c r="B13" s="23" t="inlineStr">
        <is>
          <t>Manual, Automated or Both. The PRD requires the resolver, tenancy and duplicate tests to be automated — record the CI link under Evidence.</t>
        </is>
      </c>
    </row>
    <row r="14" ht="30" customHeight="1">
      <c r="A14" s="17" t="inlineStr">
        <is>
          <t>Priority</t>
        </is>
      </c>
      <c r="B14" s="24" t="inlineStr">
        <is>
          <t>P1 must pass before the release ships. P2 needs a named owner to accept any exception. P3 is optional.</t>
        </is>
      </c>
    </row>
    <row r="15">
      <c r="A15" s="17" t="inlineStr">
        <is>
          <t>Date format</t>
        </is>
      </c>
      <c r="B15" s="23" t="inlineStr">
        <is>
          <t>YYYY-MM-DD</t>
        </is>
      </c>
    </row>
    <row r="16">
      <c r="A16" s="17" t="inlineStr"/>
      <c r="B16" s="23" t="inlineStr"/>
    </row>
    <row r="17">
      <c r="A17" s="17" t="inlineStr">
        <is>
          <t>Example row</t>
        </is>
      </c>
      <c r="B17" s="23" t="inlineStr">
        <is>
          <t>Status: Fail  ·  Actual result: Deal stayed in Qualified  ·  Build: 1A-rc3  ·  Environment: Staging  ·  Browser: Chrome 141 / macOS  ·  Test data: D-0348  ·  Evidence: jira/WQ-1183  ·  Defect ID: WQ-1183  ·  Tester: KW  ·  Date: 2026-09-04</t>
        </is>
      </c>
    </row>
    <row r="18">
      <c r="A18" s="17" t="inlineStr"/>
      <c r="B18" s="23" t="inlineStr"/>
    </row>
    <row r="19">
      <c r="A19" s="17" t="inlineStr">
        <is>
          <t>Assumptions</t>
        </is>
      </c>
      <c r="B19" s="23" t="inlineStr">
        <is>
          <t>1. Tests marked 'cond. D1' apply only if backward Deal movement is approved.</t>
        </is>
      </c>
    </row>
    <row r="20">
      <c r="A20" s="17" t="inlineStr"/>
      <c r="B20" s="23" t="inlineStr">
        <is>
          <t>2. D5 tests have no fixed expected result until the over-quota and sales-order ruling is recorded.</t>
        </is>
      </c>
    </row>
    <row r="21">
      <c r="A21" s="17" t="inlineStr"/>
      <c r="B21" s="23" t="inlineStr">
        <is>
          <t>3. D7 decides whose approval threshold applies; the approval boundary tests inherit that answer.</t>
        </is>
      </c>
    </row>
    <row r="22">
      <c r="A22" s="17" t="inlineStr"/>
      <c r="B22" s="23" t="inlineStr">
        <is>
          <t>4. Phase 1B and 1C assume the preceding release passed its own P1 tests.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6"/>
  <sheetViews>
    <sheetView workbookViewId="0">
      <selection activeCell="A1" sqref="A1"/>
    </sheetView>
  </sheetViews>
  <sheetFormatPr baseColWidth="8" defaultRowHeight="15"/>
  <cols>
    <col width="26" customWidth="1" min="1" max="1"/>
    <col width="108" customWidth="1" min="2" max="2"/>
  </cols>
  <sheetData>
    <row r="1">
      <c r="A1" s="1" t="inlineStr">
        <is>
          <t>Test plan — WeQuote CRM Phase 1</t>
        </is>
      </c>
    </row>
    <row r="2">
      <c r="A2" s="2" t="inlineStr">
        <is>
          <t>How this release is tested, by whom, in what order, and what has to be true before it ships.</t>
        </is>
      </c>
    </row>
    <row r="4">
      <c r="A4" s="28" t="inlineStr">
        <is>
          <t>Objectives</t>
        </is>
      </c>
      <c r="B4" s="29" t="n"/>
    </row>
    <row r="5" ht="15" customHeight="1">
      <c r="A5" s="30" t="n"/>
      <c r="B5" s="6" t="inlineStr">
        <is>
          <t>• Prove the Deal stage is always derived from quotes and can never be typed in.</t>
        </is>
      </c>
    </row>
    <row r="6" ht="15" customHeight="1">
      <c r="A6" s="30" t="n"/>
      <c r="B6" s="6" t="inlineStr">
        <is>
          <t>• Prove one customer account can never read or change another's records.</t>
        </is>
      </c>
    </row>
    <row r="7" ht="15" customHeight="1">
      <c r="A7" s="30" t="n"/>
      <c r="B7" s="6" t="inlineStr">
        <is>
          <t>• Prove an Automation cannot approve, send, accept, or decide Won or Lost.</t>
        </is>
      </c>
    </row>
    <row r="8" ht="15" customHeight="1">
      <c r="A8" s="30" t="n"/>
      <c r="B8" s="6" t="inlineStr">
        <is>
          <t>• Prove money figures — signed value, change orders, margin — agree with the quotes behind them.</t>
        </is>
      </c>
    </row>
    <row r="9" ht="15" customHeight="1">
      <c r="A9" s="30" t="n"/>
      <c r="B9" s="6" t="inlineStr">
        <is>
          <t>• Prove each release can ship on its own without waiting for the next.</t>
        </is>
      </c>
    </row>
    <row r="11">
      <c r="A11" s="28" t="inlineStr">
        <is>
          <t>In scope</t>
        </is>
      </c>
      <c r="B11" s="29" t="n"/>
    </row>
    <row r="12" ht="15" customHeight="1">
      <c r="A12" s="30" t="n"/>
      <c r="B12" s="6" t="inlineStr">
        <is>
          <t>• Lead, Deal, Customer, Company and Activity records.</t>
        </is>
      </c>
    </row>
    <row r="13" ht="15" customHeight="1">
      <c r="A13" s="30" t="n"/>
      <c r="B13" s="6" t="inlineStr">
        <is>
          <t>• Quote-to-stage logic, alternative groups and change orders.</t>
        </is>
      </c>
    </row>
    <row r="14" ht="15" customHeight="1">
      <c r="A14" s="30" t="n"/>
      <c r="B14" s="6" t="inlineStr">
        <is>
          <t>• Deal value and the four margin figures.</t>
        </is>
      </c>
    </row>
    <row r="15" ht="15" customHeight="1">
      <c r="A15" s="30" t="n"/>
      <c r="B15" s="6" t="inlineStr">
        <is>
          <t>• Managed recipes, their settings, scheduling and results.</t>
        </is>
      </c>
    </row>
    <row r="16" ht="15" customHeight="1">
      <c r="A16" s="30" t="n"/>
      <c r="B16" s="6" t="inlineStr">
        <is>
          <t>• The advanced builder: catalogue, editing, testing, publishing, required work.</t>
        </is>
      </c>
    </row>
    <row r="17" ht="15" customHeight="1">
      <c r="A17" s="30" t="n"/>
      <c r="B17" s="6" t="inlineStr">
        <is>
          <t>• Company-level visibility and account isolation.</t>
        </is>
      </c>
    </row>
    <row r="19">
      <c r="A19" s="28" t="inlineStr">
        <is>
          <t>Out of scope</t>
        </is>
      </c>
      <c r="B19" s="29" t="n"/>
    </row>
    <row r="20" ht="15" customHeight="1">
      <c r="A20" s="30" t="n"/>
      <c r="B20" s="6" t="inlineStr">
        <is>
          <t>• Forecast dashboards and weighted probability — Phase 2.</t>
        </is>
      </c>
    </row>
    <row r="21" ht="15" customHeight="1">
      <c r="A21" s="30" t="n"/>
      <c r="B21" s="6" t="inlineStr">
        <is>
          <t>• Customer-created custom stages — Phase 2.</t>
        </is>
      </c>
    </row>
    <row r="22" ht="15" customHeight="1">
      <c r="A22" s="30" t="n"/>
      <c r="B22" s="6" t="inlineStr">
        <is>
          <t>• Fully custom pipelines — Phase 3.</t>
        </is>
      </c>
    </row>
    <row r="23" ht="15" customHeight="1">
      <c r="A23" s="30" t="n"/>
      <c r="B23" s="6" t="inlineStr">
        <is>
          <t>• Public web-to-lead forms — deferred.</t>
        </is>
      </c>
    </row>
    <row r="24" ht="15" customHeight="1">
      <c r="A24" s="30" t="n"/>
      <c r="B24" s="6" t="inlineStr">
        <is>
          <t>• Zoho, QuickBooks and Xero behaviour beyond the coexistence rule in §C3.</t>
        </is>
      </c>
    </row>
    <row r="26">
      <c r="A26" s="28" t="inlineStr">
        <is>
          <t>Test levels</t>
        </is>
      </c>
      <c r="B26" s="29" t="n"/>
    </row>
    <row r="27" ht="15" customHeight="1">
      <c r="A27" s="30" t="n"/>
      <c r="B27" s="6" t="inlineStr">
        <is>
          <t>• Component: stage logic, quote-inclusion test, value arithmetic — automated.</t>
        </is>
      </c>
    </row>
    <row r="28" ht="15" customHeight="1">
      <c r="A28" s="30" t="n"/>
      <c r="B28" s="6" t="inlineStr">
        <is>
          <t>• Integration: quote event to Deal update to Automation run — automated.</t>
        </is>
      </c>
    </row>
    <row r="29" ht="15" customHeight="1">
      <c r="A29" s="30" t="n"/>
      <c r="B29" s="6" t="inlineStr">
        <is>
          <t>• System: the end-to-end journeys on the Use Case Coverage sheet — manual.</t>
        </is>
      </c>
    </row>
    <row r="30" ht="15" customHeight="1">
      <c r="A30" s="30" t="n"/>
      <c r="B30" s="6" t="inlineStr">
        <is>
          <t>• UAT: the same journeys run by Sales and an Admin on staging.</t>
        </is>
      </c>
    </row>
    <row r="31" ht="15" customHeight="1">
      <c r="A31" s="30" t="n"/>
      <c r="B31" s="6" t="inlineStr">
        <is>
          <t>• Regression: the six locked rules, re-run in full before every release.</t>
        </is>
      </c>
    </row>
    <row r="33">
      <c r="A33" s="28" t="inlineStr">
        <is>
          <t>Approach</t>
        </is>
      </c>
      <c r="B33" s="29" t="n"/>
    </row>
    <row r="34" ht="15" customHeight="1">
      <c r="A34" s="30" t="n"/>
      <c r="B34" s="6" t="inlineStr">
        <is>
          <t>• Automate anything the PRD names as automated: the precedence ladder, the quote-inclusion clauses, both revision flags, idempotency and account isolation.</t>
        </is>
      </c>
    </row>
    <row r="35" ht="15" customHeight="1">
      <c r="A35" s="30" t="n"/>
      <c r="B35" s="6" t="inlineStr">
        <is>
          <t>• Everything else is manual, with evidence attached.</t>
        </is>
      </c>
    </row>
    <row r="36" ht="15" customHeight="1">
      <c r="A36" s="30" t="n"/>
      <c r="B36" s="6" t="inlineStr">
        <is>
          <t>• Each test records its Method so automated coverage can be proven, not asserted.</t>
        </is>
      </c>
    </row>
    <row r="38">
      <c r="A38" s="28" t="inlineStr">
        <is>
          <t>Environment</t>
        </is>
      </c>
      <c r="B38" s="29" t="n"/>
    </row>
    <row r="39" ht="15" customHeight="1">
      <c r="A39" s="30" t="n"/>
      <c r="B39" s="6" t="inlineStr">
        <is>
          <t>• Staging, refreshed from a masked production copy before each release cycle.</t>
        </is>
      </c>
    </row>
    <row r="40" ht="15" customHeight="1">
      <c r="A40" s="30" t="n"/>
      <c r="B40" s="6" t="inlineStr">
        <is>
          <t>• Build or commit recorded against every executed test.</t>
        </is>
      </c>
    </row>
    <row r="41" ht="15" customHeight="1">
      <c r="A41" s="30" t="n"/>
      <c r="B41" s="6" t="inlineStr">
        <is>
          <t>• Timed recipes need the work queue running; note in Actual result if it was not.</t>
        </is>
      </c>
    </row>
    <row r="43">
      <c r="A43" s="28" t="inlineStr">
        <is>
          <t>Test accounts</t>
        </is>
      </c>
      <c r="B43" s="29" t="n"/>
    </row>
    <row r="44" ht="15" customHeight="1">
      <c r="A44" s="30" t="n"/>
      <c r="B44" s="6" t="inlineStr">
        <is>
          <t>• Audio Vision Group with at least three companies, for company-scope tests.</t>
        </is>
      </c>
    </row>
    <row r="45" ht="15" customHeight="1">
      <c r="A45" s="30" t="n"/>
      <c r="B45" s="6" t="inlineStr">
        <is>
          <t>• A second unrelated account, for isolation tests.</t>
        </is>
      </c>
    </row>
    <row r="46" ht="15" customHeight="1">
      <c r="A46" s="30" t="n"/>
      <c r="B46" s="6" t="inlineStr">
        <is>
          <t>• One Sales user limited to one company, one manager across all, one user with no CRM access.</t>
        </is>
      </c>
    </row>
    <row r="47" ht="15" customHeight="1">
      <c r="A47" s="30" t="n"/>
      <c r="B47" s="6" t="inlineStr">
        <is>
          <t>• An approver distinct from the quote owner, for the high-value approval tests.</t>
        </is>
      </c>
    </row>
    <row r="49">
      <c r="A49" s="28" t="inlineStr">
        <is>
          <t>Test data</t>
        </is>
      </c>
      <c r="B49" s="29" t="n"/>
    </row>
    <row r="50" ht="15" customHeight="1">
      <c r="A50" s="30" t="n"/>
      <c r="B50" s="6" t="inlineStr">
        <is>
          <t>• A Deal with three quotes in one alternative group.</t>
        </is>
      </c>
    </row>
    <row r="51" ht="15" customHeight="1">
      <c r="A51" s="30" t="n"/>
      <c r="B51" s="6" t="inlineStr">
        <is>
          <t>• A Deal with two independent quotes.</t>
        </is>
      </c>
    </row>
    <row r="52" ht="15" customHeight="1">
      <c r="A52" s="30" t="n"/>
      <c r="B52" s="6" t="inlineStr">
        <is>
          <t>• A quote family whose latest revision is not the active one.</t>
        </is>
      </c>
    </row>
    <row r="53" ht="15" customHeight="1">
      <c r="A53" s="30" t="n"/>
      <c r="B53" s="6" t="inlineStr">
        <is>
          <t>• One sample, one template and one archived quote.</t>
        </is>
      </c>
    </row>
    <row r="54" ht="15" customHeight="1">
      <c r="A54" s="30" t="n"/>
      <c r="B54" s="6" t="inlineStr">
        <is>
          <t>• An accepted quote with a signed change order.</t>
        </is>
      </c>
    </row>
    <row r="55" ht="15" customHeight="1">
      <c r="A55" s="30" t="n"/>
      <c r="B55" s="6" t="inlineStr">
        <is>
          <t>• At least one non-Sales pipeline with its own Deals.</t>
        </is>
      </c>
    </row>
    <row r="57">
      <c r="A57" s="28" t="inlineStr">
        <is>
          <t>Entry criteria</t>
        </is>
      </c>
      <c r="B57" s="29" t="n"/>
    </row>
    <row r="58" ht="15" customHeight="1">
      <c r="A58" s="30" t="n"/>
      <c r="B58" s="6" t="inlineStr">
        <is>
          <t>• The build is deployed to staging and smoke-passes.</t>
        </is>
      </c>
    </row>
    <row r="59" ht="15" customHeight="1">
      <c r="A59" s="30" t="n"/>
      <c r="B59" s="6" t="inlineStr">
        <is>
          <t>• The release's blocking Delivery gate items for Decisions and Data are Done.</t>
        </is>
      </c>
    </row>
    <row r="60" ht="15" customHeight="1">
      <c r="A60" s="30" t="n"/>
      <c r="B60" s="6" t="inlineStr">
        <is>
          <t>• Test data above is present.</t>
        </is>
      </c>
    </row>
    <row r="61" ht="15" customHeight="1">
      <c r="A61" s="30" t="n"/>
      <c r="B61" s="6" t="inlineStr">
        <is>
          <t>• Known defects from the previous cycle are triaged.</t>
        </is>
      </c>
    </row>
    <row r="63">
      <c r="A63" s="28" t="inlineStr">
        <is>
          <t>Exit criteria</t>
        </is>
      </c>
      <c r="B63" s="29" t="n"/>
    </row>
    <row r="64" ht="15" customHeight="1">
      <c r="A64" s="30" t="n"/>
      <c r="B64" s="6" t="inlineStr">
        <is>
          <t>• Every P1 test for that release is Pass, or N/A with a reason and an approver.</t>
        </is>
      </c>
    </row>
    <row r="65" ht="15" customHeight="1">
      <c r="A65" s="30" t="n"/>
      <c r="B65" s="6" t="inlineStr">
        <is>
          <t>• No open defect of severity 1 or 2.</t>
        </is>
      </c>
    </row>
    <row r="66" ht="15" customHeight="1">
      <c r="A66" s="30" t="n"/>
      <c r="B66" s="6" t="inlineStr">
        <is>
          <t>• Every Blocking gate item for that release is Done.</t>
        </is>
      </c>
    </row>
    <row r="67" ht="15" customHeight="1">
      <c r="A67" s="30" t="n"/>
      <c r="B67" s="6" t="inlineStr">
        <is>
          <t>• Automated tests named in the PRD are running in CI with a link recorded.</t>
        </is>
      </c>
    </row>
    <row r="69">
      <c r="A69" s="28" t="inlineStr">
        <is>
          <t>Roles</t>
        </is>
      </c>
      <c r="B69" s="29" t="n"/>
    </row>
    <row r="70" ht="15" customHeight="1">
      <c r="A70" s="30" t="n"/>
      <c r="B70" s="6" t="inlineStr">
        <is>
          <t>• QA runs the cases and records results.</t>
        </is>
      </c>
    </row>
    <row r="71" ht="15" customHeight="1">
      <c r="A71" s="30" t="n"/>
      <c r="B71" s="6" t="inlineStr">
        <is>
          <t>• Engineering fixes defects and provides the CI links.</t>
        </is>
      </c>
    </row>
    <row r="72" ht="15" customHeight="1">
      <c r="A72" s="30" t="n"/>
      <c r="B72" s="6" t="inlineStr">
        <is>
          <t>• Product decides on N/A waivers and answers the open decisions.</t>
        </is>
      </c>
    </row>
    <row r="73" ht="15" customHeight="1">
      <c r="A73" s="30" t="n"/>
      <c r="B73" s="6" t="inlineStr">
        <is>
          <t>• Design confirms the interface behaviour cases.</t>
        </is>
      </c>
    </row>
    <row r="74" ht="15" customHeight="1">
      <c r="A74" s="30" t="n"/>
      <c r="B74" s="6" t="inlineStr">
        <is>
          <t>• CTO signs the release gate.</t>
        </is>
      </c>
    </row>
    <row r="76">
      <c r="A76" s="28" t="inlineStr">
        <is>
          <t>Defect severity</t>
        </is>
      </c>
      <c r="B76" s="29" t="n"/>
    </row>
    <row r="77" ht="15" customHeight="1">
      <c r="A77" s="30" t="n"/>
      <c r="B77" s="6" t="inlineStr">
        <is>
          <t>• S1 — data loss, cross-account leakage, or a wrong Deal stage or value. Blocks the release.</t>
        </is>
      </c>
    </row>
    <row r="78" ht="15" customHeight="1">
      <c r="A78" s="30" t="n"/>
      <c r="B78" s="6" t="inlineStr">
        <is>
          <t>• S2 — a documented rule not enforced, or a protected action reachable. Blocks the release.</t>
        </is>
      </c>
    </row>
    <row r="79" ht="15" customHeight="1">
      <c r="A79" s="30" t="n"/>
      <c r="B79" s="6" t="inlineStr">
        <is>
          <t>• S3 — wrong or missing feedback, recoverable. Fix or waive with an owner.</t>
        </is>
      </c>
    </row>
    <row r="80" ht="15" customHeight="1">
      <c r="A80" s="30" t="n"/>
      <c r="B80" s="6" t="inlineStr">
        <is>
          <t>• S4 — cosmetic. Backlog.</t>
        </is>
      </c>
    </row>
    <row r="82">
      <c r="A82" s="28" t="inlineStr">
        <is>
          <t>Retest and regression</t>
        </is>
      </c>
      <c r="B82" s="29" t="n"/>
    </row>
    <row r="83" ht="15" customHeight="1">
      <c r="A83" s="30" t="n"/>
      <c r="B83" s="6" t="inlineStr">
        <is>
          <t>• A fixed defect is retested on the build that contains the fix.</t>
        </is>
      </c>
    </row>
    <row r="84" ht="15" customHeight="1">
      <c r="A84" s="30" t="n"/>
      <c r="B84" s="6" t="inlineStr">
        <is>
          <t>• Any change to stage logic, value arithmetic or the block catalogue re-runs the whole Regression sheet.</t>
        </is>
      </c>
    </row>
    <row r="85" ht="15" customHeight="1">
      <c r="A85" s="30" t="n"/>
      <c r="B85" s="6" t="inlineStr">
        <is>
          <t>• A hotfix re-runs Regression plus the affected area.</t>
        </is>
      </c>
    </row>
    <row r="87">
      <c r="A87" s="28" t="inlineStr">
        <is>
          <t>Risks</t>
        </is>
      </c>
      <c r="B87" s="29" t="n"/>
    </row>
    <row r="88" ht="15" customHeight="1">
      <c r="A88" s="30" t="n"/>
      <c r="B88" s="6" t="inlineStr">
        <is>
          <t>• The activity timeline is barely used today; adoption is unproven — see §A13 D3.</t>
        </is>
      </c>
    </row>
    <row r="89" ht="15" customHeight="1">
      <c r="A89" s="30" t="n"/>
      <c r="B89" s="6" t="inlineStr">
        <is>
          <t>• Zoho-connected accounts must stay switched off until D2 is answered.</t>
        </is>
      </c>
    </row>
    <row r="90" ht="15" customHeight="1">
      <c r="A90" s="30" t="n"/>
      <c r="B90" s="6" t="inlineStr">
        <is>
          <t>• Timed recipes depend on a work queue that does not exist yet.</t>
        </is>
      </c>
    </row>
    <row r="91" ht="15" customHeight="1">
      <c r="A91" s="30" t="n"/>
      <c r="B91" s="6" t="inlineStr">
        <is>
          <t>• Backward Deal movement is conditional on D1; those tests stay N/A until it is answered.</t>
        </is>
      </c>
    </row>
    <row r="93">
      <c r="A93" s="28" t="inlineStr">
        <is>
          <t>Release verification</t>
        </is>
      </c>
      <c r="B93" s="29" t="n"/>
    </row>
    <row r="94" ht="15" customHeight="1">
      <c r="A94" s="30" t="n"/>
      <c r="B94" s="6" t="inlineStr">
        <is>
          <t>• After deploy, re-run the Regression sheet on production data for one pilot account.</t>
        </is>
      </c>
    </row>
    <row r="95" ht="15" customHeight="1">
      <c r="A95" s="30" t="n"/>
      <c r="B95" s="6" t="inlineStr">
        <is>
          <t>• Confirm the pipeline board, one Deal's value, and one recipe run.</t>
        </is>
      </c>
    </row>
    <row r="96" ht="15" customHeight="1">
      <c r="A96" s="30" t="n"/>
      <c r="B96" s="6" t="inlineStr">
        <is>
          <t>• Rollback plan: disable the CRM navigation entry; no data migration is reversed automatically.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44" customWidth="1" min="1" max="1"/>
    <col width="8" customWidth="1" min="2" max="2"/>
    <col width="8" customWidth="1" min="3" max="3"/>
    <col width="8" customWidth="1" min="4" max="4"/>
    <col width="9" customWidth="1" min="5" max="5"/>
    <col width="7" customWidth="1" min="6" max="6"/>
    <col width="9" customWidth="1" min="7" max="7"/>
    <col width="12" customWidth="1" min="8" max="8"/>
    <col width="26" customWidth="1" min="9" max="9"/>
  </cols>
  <sheetData>
    <row r="1">
      <c r="A1" s="1" t="inlineStr">
        <is>
          <t>Release gates</t>
        </is>
      </c>
    </row>
    <row r="2">
      <c r="A2" s="2" t="inlineStr">
        <is>
          <t>A release is clear when no P1 test is Fail, Blocked or Not run. Pass and N/A do not block; an N/A needs a reason and an approver.</t>
        </is>
      </c>
    </row>
    <row r="4">
      <c r="A4" s="3" t="inlineStr">
        <is>
          <t>Release</t>
        </is>
      </c>
      <c r="B4" s="3" t="inlineStr">
        <is>
          <t>Total</t>
        </is>
      </c>
      <c r="C4" s="3" t="inlineStr">
        <is>
          <t>Pass</t>
        </is>
      </c>
      <c r="D4" s="3" t="inlineStr">
        <is>
          <t>Fail</t>
        </is>
      </c>
      <c r="E4" s="3" t="inlineStr">
        <is>
          <t>Blocked</t>
        </is>
      </c>
      <c r="F4" s="3" t="inlineStr">
        <is>
          <t>N/A</t>
        </is>
      </c>
      <c r="G4" s="3" t="inlineStr">
        <is>
          <t>Not run</t>
        </is>
      </c>
      <c r="H4" s="3" t="inlineStr">
        <is>
          <t>P1 blocking</t>
        </is>
      </c>
      <c r="I4" s="3" t="inlineStr">
        <is>
          <t>Verdict</t>
        </is>
      </c>
    </row>
    <row r="5">
      <c r="A5" s="10" t="inlineStr">
        <is>
          <t>Phase 1A</t>
        </is>
      </c>
      <c r="B5" s="5">
        <f>COUNTA('Phase 1A'!$A$5:$A$76)</f>
        <v/>
      </c>
      <c r="C5" s="5">
        <f>COUNTIF('Phase 1A'!$K$5:$K$76,"Pass")</f>
        <v/>
      </c>
      <c r="D5" s="5">
        <f>COUNTIF('Phase 1A'!$K$5:$K$76,"Fail")</f>
        <v/>
      </c>
      <c r="E5" s="5">
        <f>COUNTIF('Phase 1A'!$K$5:$K$76,"Blocked")</f>
        <v/>
      </c>
      <c r="F5" s="5">
        <f>COUNTIF('Phase 1A'!$K$5:$K$76,"N/A")</f>
        <v/>
      </c>
      <c r="G5" s="5">
        <f>COUNTIF('Phase 1A'!$K$5:$K$76,"Not run")</f>
        <v/>
      </c>
      <c r="H5" s="5">
        <f>COUNTIFS('Phase 1A'!$E$5:$E$76,"P1")-COUNTIFS('Phase 1A'!$E$5:$E$76,"P1",'Phase 1A'!$K$5:$K$76,"Pass")-COUNTIFS('Phase 1A'!$E$5:$E$76,"P1",'Phase 1A'!$K$5:$K$76,"N/A")+COUNTIFS(Regression!$C$5:$C$10,"Phase 1A",Regression!$E$5:$E$10,"P1")-COUNTIFS(Regression!$C$5:$C$10,"Phase 1A",Regression!$E$5:$E$10,"P1",Regression!$K$5:$K$10,"Pass")-COUNTIFS(Regression!$C$5:$C$10,"Phase 1A",Regression!$E$5:$E$10,"P1",Regression!$K$5:$K$10,"N/A")+COUNTIFS('Non-functional'!$C$5:$C$20,"Phase 1A",'Non-functional'!$E$5:$E$20,"P1")-COUNTIFS('Non-functional'!$C$5:$C$20,"Phase 1A",'Non-functional'!$E$5:$E$20,"P1",'Non-functional'!$K$5:$K$20,"Pass")-COUNTIFS('Non-functional'!$C$5:$C$20,"Phase 1A",'Non-functional'!$E$5:$E$20,"P1",'Non-functional'!$K$5:$K$20,"N/A")+COUNTIFS('Use Case Coverage'!$C$5:$C$24,"Phase 1A",'Use Case Coverage'!$E$5:$E$24,"P1")-COUNTIFS('Use Case Coverage'!$C$5:$C$24,"Phase 1A",'Use Case Coverage'!$E$5:$E$24,"P1",'Use Case Coverage'!$K$5:$K$24,"Pass")-COUNTIFS('Use Case Coverage'!$C$5:$C$24,"Phase 1A",'Use Case Coverage'!$E$5:$E$24,"P1",'Use Case Coverage'!$K$5:$K$24,"N/A")</f>
        <v/>
      </c>
      <c r="I5" s="11">
        <f>IF(H5=0,"Clear to ship","Blocked — "&amp;H5&amp;" P1 outstanding")</f>
        <v/>
      </c>
    </row>
    <row r="6">
      <c r="A6" s="10" t="inlineStr">
        <is>
          <t>Phase 1B</t>
        </is>
      </c>
      <c r="B6" s="5">
        <f>COUNTA('Phase 1B'!$A$5:$A$29)</f>
        <v/>
      </c>
      <c r="C6" s="5">
        <f>COUNTIF('Phase 1B'!$K$5:$K$29,"Pass")</f>
        <v/>
      </c>
      <c r="D6" s="5">
        <f>COUNTIF('Phase 1B'!$K$5:$K$29,"Fail")</f>
        <v/>
      </c>
      <c r="E6" s="5">
        <f>COUNTIF('Phase 1B'!$K$5:$K$29,"Blocked")</f>
        <v/>
      </c>
      <c r="F6" s="5">
        <f>COUNTIF('Phase 1B'!$K$5:$K$29,"N/A")</f>
        <v/>
      </c>
      <c r="G6" s="5">
        <f>COUNTIF('Phase 1B'!$K$5:$K$29,"Not run")</f>
        <v/>
      </c>
      <c r="H6" s="5">
        <f>COUNTIFS('Phase 1B'!$E$5:$E$29,"P1")-COUNTIFS('Phase 1B'!$E$5:$E$29,"P1",'Phase 1B'!$K$5:$K$29,"Pass")-COUNTIFS('Phase 1B'!$E$5:$E$29,"P1",'Phase 1B'!$K$5:$K$29,"N/A")+COUNTIFS(Regression!$C$5:$C$10,"Phase 1A",Regression!$E$5:$E$10,"P1")-COUNTIFS(Regression!$C$5:$C$10,"Phase 1A",Regression!$E$5:$E$10,"P1",Regression!$K$5:$K$10,"Pass")-COUNTIFS(Regression!$C$5:$C$10,"Phase 1A",Regression!$E$5:$E$10,"P1",Regression!$K$5:$K$10,"N/A")+COUNTIFS('Non-functional'!$C$5:$C$20,"Phase 1B",'Non-functional'!$E$5:$E$20,"P1")-COUNTIFS('Non-functional'!$C$5:$C$20,"Phase 1B",'Non-functional'!$E$5:$E$20,"P1",'Non-functional'!$K$5:$K$20,"Pass")-COUNTIFS('Non-functional'!$C$5:$C$20,"Phase 1B",'Non-functional'!$E$5:$E$20,"P1",'Non-functional'!$K$5:$K$20,"N/A")+COUNTIFS('Use Case Coverage'!$C$5:$C$24,"Phase 1B",'Use Case Coverage'!$E$5:$E$24,"P1")-COUNTIFS('Use Case Coverage'!$C$5:$C$24,"Phase 1B",'Use Case Coverage'!$E$5:$E$24,"P1",'Use Case Coverage'!$K$5:$K$24,"Pass")-COUNTIFS('Use Case Coverage'!$C$5:$C$24,"Phase 1B",'Use Case Coverage'!$E$5:$E$24,"P1",'Use Case Coverage'!$K$5:$K$24,"N/A")</f>
        <v/>
      </c>
      <c r="I6" s="11">
        <f>IF(H6=0,"Clear to ship","Blocked — "&amp;H6&amp;" P1 outstanding")</f>
        <v/>
      </c>
    </row>
    <row r="7">
      <c r="A7" s="10" t="inlineStr">
        <is>
          <t>Phase 1C</t>
        </is>
      </c>
      <c r="B7" s="5">
        <f>COUNTA('Phase 1C'!$A$5:$A$43)</f>
        <v/>
      </c>
      <c r="C7" s="5">
        <f>COUNTIF('Phase 1C'!$K$5:$K$43,"Pass")</f>
        <v/>
      </c>
      <c r="D7" s="5">
        <f>COUNTIF('Phase 1C'!$K$5:$K$43,"Fail")</f>
        <v/>
      </c>
      <c r="E7" s="5">
        <f>COUNTIF('Phase 1C'!$K$5:$K$43,"Blocked")</f>
        <v/>
      </c>
      <c r="F7" s="5">
        <f>COUNTIF('Phase 1C'!$K$5:$K$43,"N/A")</f>
        <v/>
      </c>
      <c r="G7" s="5">
        <f>COUNTIF('Phase 1C'!$K$5:$K$43,"Not run")</f>
        <v/>
      </c>
      <c r="H7" s="5">
        <f>COUNTIFS('Phase 1C'!$E$5:$E$43,"P1")-COUNTIFS('Phase 1C'!$E$5:$E$43,"P1",'Phase 1C'!$K$5:$K$43,"Pass")-COUNTIFS('Phase 1C'!$E$5:$E$43,"P1",'Phase 1C'!$K$5:$K$43,"N/A")+COUNTIFS(Regression!$C$5:$C$10,"Phase 1A",Regression!$E$5:$E$10,"P1")-COUNTIFS(Regression!$C$5:$C$10,"Phase 1A",Regression!$E$5:$E$10,"P1",Regression!$K$5:$K$10,"Pass")-COUNTIFS(Regression!$C$5:$C$10,"Phase 1A",Regression!$E$5:$E$10,"P1",Regression!$K$5:$K$10,"N/A")+COUNTIFS(Regression!$C$5:$C$10,"Phase 1C",Regression!$E$5:$E$10,"P1")-COUNTIFS(Regression!$C$5:$C$10,"Phase 1C",Regression!$E$5:$E$10,"P1",Regression!$K$5:$K$10,"Pass")-COUNTIFS(Regression!$C$5:$C$10,"Phase 1C",Regression!$E$5:$E$10,"P1",Regression!$K$5:$K$10,"N/A")+COUNTIFS('Non-functional'!$C$5:$C$20,"Phase 1C",'Non-functional'!$E$5:$E$20,"P1")-COUNTIFS('Non-functional'!$C$5:$C$20,"Phase 1C",'Non-functional'!$E$5:$E$20,"P1",'Non-functional'!$K$5:$K$20,"Pass")-COUNTIFS('Non-functional'!$C$5:$C$20,"Phase 1C",'Non-functional'!$E$5:$E$20,"P1",'Non-functional'!$K$5:$K$20,"N/A")+COUNTIFS('Use Case Coverage'!$C$5:$C$24,"Phase 1C",'Use Case Coverage'!$E$5:$E$24,"P1")-COUNTIFS('Use Case Coverage'!$C$5:$C$24,"Phase 1C",'Use Case Coverage'!$E$5:$E$24,"P1",'Use Case Coverage'!$K$5:$K$24,"Pass")-COUNTIFS('Use Case Coverage'!$C$5:$C$24,"Phase 1C",'Use Case Coverage'!$E$5:$E$24,"P1",'Use Case Coverage'!$K$5:$K$24,"N/A")</f>
        <v/>
      </c>
      <c r="I7" s="11">
        <f>IF(H7=0,"Clear to ship","Blocked — "&amp;H7&amp;" P1 outstanding")</f>
        <v/>
      </c>
    </row>
    <row r="8">
      <c r="A8" s="10" t="inlineStr">
        <is>
          <t>Recipe coverage</t>
        </is>
      </c>
      <c r="B8" s="5">
        <f>108</f>
        <v/>
      </c>
      <c r="C8" s="5">
        <f>COUNTIF('Recipe coverage'!$E$5:$M$16,"Pass")</f>
        <v/>
      </c>
      <c r="D8" s="5">
        <f>COUNTIF('Recipe coverage'!$E$5:$M$16,"Fail")</f>
        <v/>
      </c>
      <c r="E8" s="5">
        <f>COUNTIF('Recipe coverage'!$E$5:$M$16,"Blocked")</f>
        <v/>
      </c>
      <c r="F8" s="5">
        <f>COUNTIF('Recipe coverage'!$E$5:$M$16,"N/A")</f>
        <v/>
      </c>
      <c r="G8" s="5">
        <f>COUNTIF('Recipe coverage'!$E$5:$M$16,"Not run")</f>
        <v/>
      </c>
      <c r="H8" s="5">
        <f>D8+E8+G8</f>
        <v/>
      </c>
      <c r="I8" s="11">
        <f>IF(H8=0,"Clear to ship","Blocked — "&amp;H8&amp;" checks outstanding")</f>
        <v/>
      </c>
    </row>
    <row r="9">
      <c r="A9" s="12" t="inlineStr">
        <is>
          <t>Regression</t>
        </is>
      </c>
      <c r="B9" s="5">
        <f>COUNTA('Regression'!$A$5:$A$10)</f>
        <v/>
      </c>
      <c r="C9" s="5">
        <f>COUNTIF('Regression'!$K$5:$K$10,"Pass")</f>
        <v/>
      </c>
      <c r="D9" s="5">
        <f>COUNTIF('Regression'!$K$5:$K$10,"Fail")</f>
        <v/>
      </c>
      <c r="E9" s="5">
        <f>COUNTIF('Regression'!$K$5:$K$10,"Blocked")</f>
        <v/>
      </c>
      <c r="F9" s="5">
        <f>COUNTIF('Regression'!$K$5:$K$10,"N/A")</f>
        <v/>
      </c>
      <c r="G9" s="5">
        <f>COUNTIF('Regression'!$K$5:$K$10,"Not run")</f>
        <v/>
      </c>
      <c r="H9" s="5">
        <f>COUNTIFS('Regression'!$E$5:$E$10,"P1")-COUNTIFS('Regression'!$E$5:$E$10,"P1",'Regression'!$K$5:$K$10,"Pass")-COUNTIFS('Regression'!$E$5:$E$10,"P1",'Regression'!$K$5:$K$10,"N/A")</f>
        <v/>
      </c>
      <c r="I9" s="13" t="inlineStr">
        <is>
          <t>Already counted in the release gates above — not added again below.</t>
        </is>
      </c>
    </row>
    <row r="10">
      <c r="A10" s="12" t="inlineStr">
        <is>
          <t>Non-functional</t>
        </is>
      </c>
      <c r="B10" s="5">
        <f>COUNTA('Non-functional'!$A$5:$A$20)</f>
        <v/>
      </c>
      <c r="C10" s="5">
        <f>COUNTIF('Non-functional'!$K$5:$K$20,"Pass")</f>
        <v/>
      </c>
      <c r="D10" s="5">
        <f>COUNTIF('Non-functional'!$K$5:$K$20,"Fail")</f>
        <v/>
      </c>
      <c r="E10" s="5">
        <f>COUNTIF('Non-functional'!$K$5:$K$20,"Blocked")</f>
        <v/>
      </c>
      <c r="F10" s="5">
        <f>COUNTIF('Non-functional'!$K$5:$K$20,"N/A")</f>
        <v/>
      </c>
      <c r="G10" s="5">
        <f>COUNTIF('Non-functional'!$K$5:$K$20,"Not run")</f>
        <v/>
      </c>
      <c r="H10" s="5">
        <f>COUNTIFS('Non-functional'!$E$5:$E$20,"P1")-COUNTIFS('Non-functional'!$E$5:$E$20,"P1",'Non-functional'!$K$5:$K$20,"Pass")-COUNTIFS('Non-functional'!$E$5:$E$20,"P1",'Non-functional'!$K$5:$K$20,"N/A")</f>
        <v/>
      </c>
      <c r="I10" s="13" t="inlineStr">
        <is>
          <t>Already counted in the release gates above — not added again below.</t>
        </is>
      </c>
    </row>
    <row r="11">
      <c r="A11" s="12" t="inlineStr">
        <is>
          <t>End-to-end journeys</t>
        </is>
      </c>
      <c r="B11" s="5">
        <f>COUNTA('Use Case Coverage'!$A$5:$A$24)</f>
        <v/>
      </c>
      <c r="C11" s="5">
        <f>COUNTIF('Use Case Coverage'!$K$5:$K$24,"Pass")</f>
        <v/>
      </c>
      <c r="D11" s="5">
        <f>COUNTIF('Use Case Coverage'!$K$5:$K$24,"Fail")</f>
        <v/>
      </c>
      <c r="E11" s="5">
        <f>COUNTIF('Use Case Coverage'!$K$5:$K$24,"Blocked")</f>
        <v/>
      </c>
      <c r="F11" s="5">
        <f>COUNTIF('Use Case Coverage'!$K$5:$K$24,"N/A")</f>
        <v/>
      </c>
      <c r="G11" s="5">
        <f>COUNTIF('Use Case Coverage'!$K$5:$K$24,"Not run")</f>
        <v/>
      </c>
      <c r="H11" s="5">
        <f>COUNTIFS('Use Case Coverage'!$E$5:$E$24,"P1")-COUNTIFS('Use Case Coverage'!$E$5:$E$24,"P1",'Use Case Coverage'!$K$5:$K$24,"Pass")-COUNTIFS('Use Case Coverage'!$E$5:$E$24,"P1",'Use Case Coverage'!$K$5:$K$24,"N/A")</f>
        <v/>
      </c>
      <c r="I11" s="13" t="inlineStr">
        <is>
          <t>Already counted in the release gates above — not added again below.</t>
        </is>
      </c>
    </row>
    <row r="12">
      <c r="A12" s="14" t="inlineStr">
        <is>
          <t>Phase 1 programme</t>
        </is>
      </c>
      <c r="B12" s="15">
        <f>SUM(B5:B11)</f>
        <v/>
      </c>
      <c r="C12" s="15">
        <f>SUM(C5:C11)</f>
        <v/>
      </c>
      <c r="D12" s="15">
        <f>SUM(D5:D11)</f>
        <v/>
      </c>
      <c r="E12" s="15">
        <f>SUM(E5:E11)</f>
        <v/>
      </c>
      <c r="F12" s="15">
        <f>SUM(F5:F11)</f>
        <v/>
      </c>
      <c r="G12" s="15">
        <f>SUM(G5:G11)</f>
        <v/>
      </c>
      <c r="H12" s="15">
        <f>SUM(H5:H8)</f>
        <v/>
      </c>
      <c r="I12" s="16">
        <f>IF(H12=0,"Entire Phase 1 clear","Blocked — "&amp;H12&amp;" P1 outstanding across the programme")</f>
        <v/>
      </c>
    </row>
    <row r="13">
      <c r="A13" s="2" t="inlineStr">
        <is>
          <t>Totals count each population once. P1 blocking sums the three release gates plus recipe coverage — regression, non-functional and journeys are inside those gates already.</t>
        </is>
      </c>
    </row>
    <row r="15">
      <c r="A15" s="17" t="inlineStr">
        <is>
          <t>N/A hygiene</t>
        </is>
      </c>
    </row>
    <row r="16">
      <c r="A16" s="18" t="inlineStr">
        <is>
          <t>N/A missing a reason, an approver, or both</t>
        </is>
      </c>
      <c r="B16" s="19">
        <f>(COUNTIFS('Phase 1A'!$K$5:$K$76,"N/A")-COUNTIFS('Phase 1A'!$K$5:$K$76,"N/A",'Phase 1A'!$S$5:$S$76,"&lt;&gt;",'Phase 1A'!$V$5:$V$76,"&lt;&gt;"))+(COUNTIFS('Phase 1B'!$K$5:$K$29,"N/A")-COUNTIFS('Phase 1B'!$K$5:$K$29,"N/A",'Phase 1B'!$S$5:$S$29,"&lt;&gt;",'Phase 1B'!$V$5:$V$29,"&lt;&gt;"))+(COUNTIFS('Phase 1C'!$K$5:$K$43,"N/A")-COUNTIFS('Phase 1C'!$K$5:$K$43,"N/A",'Phase 1C'!$S$5:$S$43,"&lt;&gt;",'Phase 1C'!$V$5:$V$43,"&lt;&gt;"))+(COUNTIFS('Regression'!$K$5:$K$10,"N/A")-COUNTIFS('Regression'!$K$5:$K$10,"N/A",'Regression'!$S$5:$S$10,"&lt;&gt;",'Regression'!$V$5:$V$10,"&lt;&gt;"))+(COUNTIFS('Non-functional'!$K$5:$K$20,"N/A")-COUNTIFS('Non-functional'!$K$5:$K$20,"N/A",'Non-functional'!$S$5:$S$20,"&lt;&gt;",'Non-functional'!$V$5:$V$20,"&lt;&gt;"))+(COUNTIFS('Use Case Coverage'!$K$5:$K$24,"N/A")-COUNTIFS('Use Case Coverage'!$K$5:$K$24,"N/A",'Use Case Coverage'!$S$5:$S$24,"&lt;&gt;",'Use Case Coverage'!$V$5:$V$24,"&lt;&gt;"))</f>
        <v/>
      </c>
    </row>
    <row r="17">
      <c r="A17" s="2" t="inlineStr">
        <is>
          <t>Every N/A needs a reason in Notes AND a name in 'Waiver approved by'. This counts any missing either.</t>
        </is>
      </c>
    </row>
    <row r="19">
      <c r="A19" s="17" t="inlineStr">
        <is>
          <t>What is counted</t>
        </is>
      </c>
    </row>
    <row r="20">
      <c r="A20" s="18" t="inlineStr">
        <is>
          <t>Core functional cases (Phase 1A + 1B + 1C)</t>
        </is>
      </c>
      <c r="B20" s="19">
        <f>COUNTA('Phase 1A'!$A$5:$A$76)+COUNTA('Phase 1B'!$A$5:$A$29)+COUNTA('Phase 1C'!$A$5:$A$43)</f>
        <v/>
      </c>
    </row>
    <row r="21">
      <c r="A21" s="18" t="inlineStr">
        <is>
          <t>Regression cases</t>
        </is>
      </c>
      <c r="B21" s="19">
        <f>COUNTA(Regression!$A$5:$A$10)</f>
        <v/>
      </c>
    </row>
    <row r="22">
      <c r="A22" s="18" t="inlineStr">
        <is>
          <t>Non-functional cases</t>
        </is>
      </c>
      <c r="B22" s="19">
        <f>COUNTA('Non-functional'!$A$5:$A$20)</f>
        <v/>
      </c>
    </row>
    <row r="23">
      <c r="A23" s="18" t="inlineStr">
        <is>
          <t>End-to-end journeys</t>
        </is>
      </c>
      <c r="B23" s="19">
        <f>COUNTA('Use Case Coverage'!$A$5:$A$24)</f>
        <v/>
      </c>
    </row>
    <row r="24">
      <c r="A24" s="18" t="inlineStr">
        <is>
          <t>Recipe matrix checks</t>
        </is>
      </c>
      <c r="B24" s="19">
        <f>108</f>
        <v/>
      </c>
    </row>
    <row r="25">
      <c r="A25" s="2" t="inlineStr">
        <is>
          <t>Five separate populations. Quoting only the first understates the plan.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2"/>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5" customWidth="1" min="3" max="3"/>
    <col width="56" customWidth="1" min="4" max="4"/>
    <col width="14" customWidth="1" min="5" max="5"/>
    <col width="9" customWidth="1" min="6" max="6"/>
    <col width="13" customWidth="1" min="7" max="7"/>
    <col width="13" customWidth="1" min="8" max="8"/>
    <col width="12" customWidth="1" min="9" max="9"/>
    <col width="26" customWidth="1" min="10" max="10"/>
  </cols>
  <sheetData>
    <row r="1">
      <c r="A1" s="1" t="inlineStr">
        <is>
          <t>Delivery gate — Phase 1</t>
        </is>
      </c>
    </row>
    <row r="2">
      <c r="A2" s="2" t="inlineStr">
        <is>
          <t>Extracted from §A15 of the PRD. Each release has its own gate; blocking items stop that release only.</t>
        </is>
      </c>
    </row>
    <row r="4">
      <c r="A4" s="3" t="inlineStr">
        <is>
          <t>ID</t>
        </is>
      </c>
      <c r="B4" s="3" t="inlineStr">
        <is>
          <t>Release</t>
        </is>
      </c>
      <c r="C4" s="3" t="inlineStr">
        <is>
          <t>Area</t>
        </is>
      </c>
      <c r="D4" s="3" t="inlineStr">
        <is>
          <t>Item</t>
        </is>
      </c>
      <c r="E4" s="3" t="inlineStr">
        <is>
          <t>Role</t>
        </is>
      </c>
      <c r="F4" s="3" t="inlineStr">
        <is>
          <t>Gate</t>
        </is>
      </c>
      <c r="G4" s="3" t="inlineStr">
        <is>
          <t>Owner</t>
        </is>
      </c>
      <c r="H4" s="3" t="inlineStr">
        <is>
          <t>Status</t>
        </is>
      </c>
      <c r="I4" s="3" t="inlineStr">
        <is>
          <t>Target date</t>
        </is>
      </c>
      <c r="J4" s="3" t="inlineStr">
        <is>
          <t>Evidence / link</t>
        </is>
      </c>
    </row>
    <row r="5" ht="30" customHeight="1">
      <c r="A5" s="4" t="inlineStr">
        <is>
          <t>G-01</t>
        </is>
      </c>
      <c r="B5" s="5" t="inlineStr">
        <is>
          <t>Phase 1A</t>
        </is>
      </c>
      <c r="C5" s="4" t="inlineStr">
        <is>
          <t>Decisions closed</t>
        </is>
      </c>
      <c r="D5" s="6" t="inlineStr">
        <is>
          <t>D1 — do Deals move backwards? Until this is answered, FR-24 is not committed scope.</t>
        </is>
      </c>
      <c r="E5" s="4" t="inlineStr">
        <is>
          <t>Product</t>
        </is>
      </c>
      <c r="F5" s="20" t="inlineStr">
        <is>
          <t>Blocking</t>
        </is>
      </c>
      <c r="G5" s="4" t="inlineStr"/>
      <c r="H5" s="5" t="inlineStr">
        <is>
          <t>Not started</t>
        </is>
      </c>
      <c r="I5" s="5" t="inlineStr"/>
      <c r="J5" s="6" t="inlineStr"/>
    </row>
    <row r="6" ht="30" customHeight="1">
      <c r="A6" s="7" t="inlineStr">
        <is>
          <t>G-02</t>
        </is>
      </c>
      <c r="B6" s="8" t="inlineStr">
        <is>
          <t>Phase 1A</t>
        </is>
      </c>
      <c r="C6" s="7" t="inlineStr">
        <is>
          <t>Decisions closed</t>
        </is>
      </c>
      <c r="D6" s="9" t="inlineStr">
        <is>
          <t>D2 — Zoho coexistence. Deals stay switched off for Zoho-connected organisations until agreed.</t>
        </is>
      </c>
      <c r="E6" s="7" t="inlineStr">
        <is>
          <t>Product + CTO</t>
        </is>
      </c>
      <c r="F6" s="21" t="inlineStr">
        <is>
          <t>Blocking</t>
        </is>
      </c>
      <c r="G6" s="7" t="inlineStr"/>
      <c r="H6" s="8" t="inlineStr">
        <is>
          <t>Not started</t>
        </is>
      </c>
      <c r="I6" s="8" t="inlineStr"/>
      <c r="J6" s="9" t="inlineStr"/>
    </row>
    <row r="7" ht="30" customHeight="1">
      <c r="A7" s="4" t="inlineStr">
        <is>
          <t>G-03</t>
        </is>
      </c>
      <c r="B7" s="5" t="inlineStr">
        <is>
          <t>Phase 1A</t>
        </is>
      </c>
      <c r="C7" s="4" t="inlineStr">
        <is>
          <t>Decisions closed</t>
        </is>
      </c>
      <c r="D7" s="6" t="inlineStr">
        <is>
          <t>D4 — is the CRM company the existing Trading Name, or a new record?</t>
        </is>
      </c>
      <c r="E7" s="4" t="inlineStr">
        <is>
          <t>Product + Eng</t>
        </is>
      </c>
      <c r="F7" s="20" t="inlineStr">
        <is>
          <t>Blocking</t>
        </is>
      </c>
      <c r="G7" s="4" t="inlineStr"/>
      <c r="H7" s="5" t="inlineStr">
        <is>
          <t>Not started</t>
        </is>
      </c>
      <c r="I7" s="5" t="inlineStr"/>
      <c r="J7" s="6" t="inlineStr"/>
    </row>
    <row r="8" ht="30" customHeight="1">
      <c r="A8" s="7" t="inlineStr">
        <is>
          <t>G-04</t>
        </is>
      </c>
      <c r="B8" s="8" t="inlineStr">
        <is>
          <t>Phase 1A</t>
        </is>
      </c>
      <c r="C8" s="7" t="inlineStr">
        <is>
          <t>Decisions closed</t>
        </is>
      </c>
      <c r="D8" s="9" t="inlineStr">
        <is>
          <t>D5 — do over-quota quotes and sales orders count toward a Deal stage?</t>
        </is>
      </c>
      <c r="E8" s="7" t="inlineStr">
        <is>
          <t>Product</t>
        </is>
      </c>
      <c r="F8" s="21" t="inlineStr">
        <is>
          <t>Blocking</t>
        </is>
      </c>
      <c r="G8" s="7" t="inlineStr"/>
      <c r="H8" s="8" t="inlineStr">
        <is>
          <t>Not started</t>
        </is>
      </c>
      <c r="I8" s="8" t="inlineStr"/>
      <c r="J8" s="9" t="inlineStr"/>
    </row>
    <row r="9" ht="30" customHeight="1">
      <c r="A9" s="4" t="inlineStr">
        <is>
          <t>G-05</t>
        </is>
      </c>
      <c r="B9" s="5" t="inlineStr">
        <is>
          <t>Phase 1A</t>
        </is>
      </c>
      <c r="C9" s="4" t="inlineStr">
        <is>
          <t>Decisions closed</t>
        </is>
      </c>
      <c r="D9" s="6" t="inlineStr">
        <is>
          <t>D6 — does raising a change order follow the quote review path?</t>
        </is>
      </c>
      <c r="E9" s="4" t="inlineStr">
        <is>
          <t>Product</t>
        </is>
      </c>
      <c r="F9" s="20" t="inlineStr">
        <is>
          <t>Blocking</t>
        </is>
      </c>
      <c r="G9" s="4" t="inlineStr"/>
      <c r="H9" s="5" t="inlineStr">
        <is>
          <t>Not started</t>
        </is>
      </c>
      <c r="I9" s="5" t="inlineStr"/>
      <c r="J9" s="6" t="inlineStr"/>
    </row>
    <row r="10" ht="30" customHeight="1">
      <c r="A10" s="7" t="inlineStr">
        <is>
          <t>G-06</t>
        </is>
      </c>
      <c r="B10" s="8" t="inlineStr">
        <is>
          <t>Phase 1A</t>
        </is>
      </c>
      <c r="C10" s="7" t="inlineStr">
        <is>
          <t>Decisions closed</t>
        </is>
      </c>
      <c r="D10" s="9" t="inlineStr">
        <is>
          <t>D3 — why is today's activity timeline unused? Research complete, findings applied to the design.</t>
        </is>
      </c>
      <c r="E10" s="7" t="inlineStr">
        <is>
          <t>Product + Design</t>
        </is>
      </c>
      <c r="F10" s="21" t="inlineStr">
        <is>
          <t>Blocking</t>
        </is>
      </c>
      <c r="G10" s="7" t="inlineStr"/>
      <c r="H10" s="8" t="inlineStr">
        <is>
          <t>Not started</t>
        </is>
      </c>
      <c r="I10" s="8" t="inlineStr"/>
      <c r="J10" s="9" t="inlineStr"/>
    </row>
    <row r="11" ht="30" customHeight="1">
      <c r="A11" s="4" t="inlineStr">
        <is>
          <t>G-07</t>
        </is>
      </c>
      <c r="B11" s="5" t="inlineStr">
        <is>
          <t>Phase 1A</t>
        </is>
      </c>
      <c r="C11" s="4" t="inlineStr">
        <is>
          <t>Data</t>
        </is>
      </c>
      <c r="D11" s="6" t="inlineStr">
        <is>
          <t>Quote stage history extended to record the review stages it currently cannot.</t>
        </is>
      </c>
      <c r="E11" s="4" t="inlineStr">
        <is>
          <t>Data</t>
        </is>
      </c>
      <c r="F11" s="20" t="inlineStr">
        <is>
          <t>Blocking</t>
        </is>
      </c>
      <c r="G11" s="4" t="inlineStr"/>
      <c r="H11" s="5" t="inlineStr">
        <is>
          <t>Not started</t>
        </is>
      </c>
      <c r="I11" s="5" t="inlineStr"/>
      <c r="J11" s="6" t="inlineStr"/>
    </row>
    <row r="12" ht="30" customHeight="1">
      <c r="A12" s="7" t="inlineStr">
        <is>
          <t>G-08</t>
        </is>
      </c>
      <c r="B12" s="8" t="inlineStr">
        <is>
          <t>Phase 1A</t>
        </is>
      </c>
      <c r="C12" s="7" t="inlineStr">
        <is>
          <t>Data</t>
        </is>
      </c>
      <c r="D12" s="9" t="inlineStr">
        <is>
          <t>Activity timeline carries an organisation column, filled in for existing rows.</t>
        </is>
      </c>
      <c r="E12" s="7" t="inlineStr">
        <is>
          <t>Data</t>
        </is>
      </c>
      <c r="F12" s="21" t="inlineStr">
        <is>
          <t>Blocking</t>
        </is>
      </c>
      <c r="G12" s="7" t="inlineStr"/>
      <c r="H12" s="8" t="inlineStr">
        <is>
          <t>Not started</t>
        </is>
      </c>
      <c r="I12" s="8" t="inlineStr"/>
      <c r="J12" s="9" t="inlineStr"/>
    </row>
    <row r="13" ht="30" customHeight="1">
      <c r="A13" s="4" t="inlineStr">
        <is>
          <t>G-09</t>
        </is>
      </c>
      <c r="B13" s="5" t="inlineStr">
        <is>
          <t>Phase 1A</t>
        </is>
      </c>
      <c r="C13" s="4" t="inlineStr">
        <is>
          <t>Data</t>
        </is>
      </c>
      <c r="D13" s="6" t="inlineStr">
        <is>
          <t>Owning company assigned to existing quotes that have none.</t>
        </is>
      </c>
      <c r="E13" s="4" t="inlineStr">
        <is>
          <t>Data</t>
        </is>
      </c>
      <c r="F13" s="20" t="inlineStr">
        <is>
          <t>Blocking</t>
        </is>
      </c>
      <c r="G13" s="4" t="inlineStr"/>
      <c r="H13" s="5" t="inlineStr">
        <is>
          <t>Not started</t>
        </is>
      </c>
      <c r="I13" s="5" t="inlineStr"/>
      <c r="J13" s="6" t="inlineStr"/>
    </row>
    <row r="14" ht="30" customHeight="1">
      <c r="A14" s="7" t="inlineStr">
        <is>
          <t>G-10</t>
        </is>
      </c>
      <c r="B14" s="8" t="inlineStr">
        <is>
          <t>Phase 1A</t>
        </is>
      </c>
      <c r="C14" s="7" t="inlineStr">
        <is>
          <t>Data</t>
        </is>
      </c>
      <c r="D14" s="9" t="inlineStr">
        <is>
          <t>Ruling recorded on whether Deals are created for existing quotes, or only for new work.</t>
        </is>
      </c>
      <c r="E14" s="7" t="inlineStr">
        <is>
          <t>Product + Eng</t>
        </is>
      </c>
      <c r="F14" s="21" t="inlineStr">
        <is>
          <t>Blocking</t>
        </is>
      </c>
      <c r="G14" s="7" t="inlineStr"/>
      <c r="H14" s="8" t="inlineStr">
        <is>
          <t>Not started</t>
        </is>
      </c>
      <c r="I14" s="8" t="inlineStr"/>
      <c r="J14" s="9" t="inlineStr"/>
    </row>
    <row r="15" ht="30" customHeight="1">
      <c r="A15" s="4" t="inlineStr">
        <is>
          <t>G-11</t>
        </is>
      </c>
      <c r="B15" s="5" t="inlineStr">
        <is>
          <t>Phase 1A</t>
        </is>
      </c>
      <c r="C15" s="4" t="inlineStr">
        <is>
          <t>Data</t>
        </is>
      </c>
      <c r="D15" s="6" t="inlineStr">
        <is>
          <t>Default Lead states and disqualify reasons seeded per organisation.</t>
        </is>
      </c>
      <c r="E15" s="4" t="inlineStr">
        <is>
          <t>Data</t>
        </is>
      </c>
      <c r="F15" s="5" t="inlineStr">
        <is>
          <t>Track</t>
        </is>
      </c>
      <c r="G15" s="4" t="inlineStr"/>
      <c r="H15" s="5" t="inlineStr">
        <is>
          <t>Not started</t>
        </is>
      </c>
      <c r="I15" s="5" t="inlineStr"/>
      <c r="J15" s="6" t="inlineStr"/>
    </row>
    <row r="16" ht="30" customHeight="1">
      <c r="A16" s="7" t="inlineStr">
        <is>
          <t>G-12</t>
        </is>
      </c>
      <c r="B16" s="8" t="inlineStr">
        <is>
          <t>Phase 1A</t>
        </is>
      </c>
      <c r="C16" s="7" t="inlineStr">
        <is>
          <t>Build</t>
        </is>
      </c>
      <c r="D16" s="9" t="inlineStr">
        <is>
          <t>Stage logic derives every stage; no screen lets a person set one.</t>
        </is>
      </c>
      <c r="E16" s="7" t="inlineStr">
        <is>
          <t>Engineering</t>
        </is>
      </c>
      <c r="F16" s="21" t="inlineStr">
        <is>
          <t>Blocking</t>
        </is>
      </c>
      <c r="G16" s="7" t="inlineStr"/>
      <c r="H16" s="8" t="inlineStr">
        <is>
          <t>Not started</t>
        </is>
      </c>
      <c r="I16" s="8" t="inlineStr"/>
      <c r="J16" s="9" t="inlineStr"/>
    </row>
    <row r="17" ht="30" customHeight="1">
      <c r="A17" s="4" t="inlineStr">
        <is>
          <t>G-13</t>
        </is>
      </c>
      <c r="B17" s="5" t="inlineStr">
        <is>
          <t>Phase 1A</t>
        </is>
      </c>
      <c r="C17" s="4" t="inlineStr">
        <is>
          <t>Build</t>
        </is>
      </c>
      <c r="D17" s="6" t="inlineStr">
        <is>
          <t>Phase 1A creates no note, task, file request or notification unprompted (FR-41).</t>
        </is>
      </c>
      <c r="E17" s="4" t="inlineStr">
        <is>
          <t>Engineering</t>
        </is>
      </c>
      <c r="F17" s="20" t="inlineStr">
        <is>
          <t>Blocking</t>
        </is>
      </c>
      <c r="G17" s="4" t="inlineStr"/>
      <c r="H17" s="5" t="inlineStr">
        <is>
          <t>Not started</t>
        </is>
      </c>
      <c r="I17" s="5" t="inlineStr"/>
      <c r="J17" s="6" t="inlineStr"/>
    </row>
    <row r="18" ht="30" customHeight="1">
      <c r="A18" s="7" t="inlineStr">
        <is>
          <t>G-14</t>
        </is>
      </c>
      <c r="B18" s="8" t="inlineStr">
        <is>
          <t>Phase 1A</t>
        </is>
      </c>
      <c r="C18" s="7" t="inlineStr">
        <is>
          <t>Build</t>
        </is>
      </c>
      <c r="D18" s="9" t="inlineStr">
        <is>
          <t>Company-level visibility shipped as a real permission tier, not a filter.</t>
        </is>
      </c>
      <c r="E18" s="7" t="inlineStr">
        <is>
          <t>Engineering</t>
        </is>
      </c>
      <c r="F18" s="21" t="inlineStr">
        <is>
          <t>Blocking</t>
        </is>
      </c>
      <c r="G18" s="7" t="inlineStr"/>
      <c r="H18" s="8" t="inlineStr">
        <is>
          <t>Not started</t>
        </is>
      </c>
      <c r="I18" s="8" t="inlineStr"/>
      <c r="J18" s="9" t="inlineStr"/>
    </row>
    <row r="19" ht="30" customHeight="1">
      <c r="A19" s="4" t="inlineStr">
        <is>
          <t>G-15</t>
        </is>
      </c>
      <c r="B19" s="5" t="inlineStr">
        <is>
          <t>Phase 1A</t>
        </is>
      </c>
      <c r="C19" s="4" t="inlineStr">
        <is>
          <t>Build</t>
        </is>
      </c>
      <c r="D19" s="6" t="inlineStr">
        <is>
          <t>Account is established and checked when an event arrives, not from a signed-in session.</t>
        </is>
      </c>
      <c r="E19" s="4" t="inlineStr">
        <is>
          <t>Engineering</t>
        </is>
      </c>
      <c r="F19" s="20" t="inlineStr">
        <is>
          <t>Blocking</t>
        </is>
      </c>
      <c r="G19" s="4" t="inlineStr"/>
      <c r="H19" s="5" t="inlineStr">
        <is>
          <t>Not started</t>
        </is>
      </c>
      <c r="I19" s="5" t="inlineStr"/>
      <c r="J19" s="6" t="inlineStr"/>
    </row>
    <row r="20" ht="30" customHeight="1">
      <c r="A20" s="7" t="inlineStr">
        <is>
          <t>G-16</t>
        </is>
      </c>
      <c r="B20" s="8" t="inlineStr">
        <is>
          <t>Phase 1A</t>
        </is>
      </c>
      <c r="C20" s="7" t="inlineStr">
        <is>
          <t>Build</t>
        </is>
      </c>
      <c r="D20" s="9" t="inlineStr">
        <is>
          <t>Alternative groups, change orders, signed value and the four margin figures all present.</t>
        </is>
      </c>
      <c r="E20" s="7" t="inlineStr">
        <is>
          <t>Engineering</t>
        </is>
      </c>
      <c r="F20" s="21" t="inlineStr">
        <is>
          <t>Blocking</t>
        </is>
      </c>
      <c r="G20" s="7" t="inlineStr"/>
      <c r="H20" s="8" t="inlineStr">
        <is>
          <t>Not started</t>
        </is>
      </c>
      <c r="I20" s="8" t="inlineStr"/>
      <c r="J20" s="9" t="inlineStr"/>
    </row>
    <row r="21" ht="30" customHeight="1">
      <c r="A21" s="4" t="inlineStr">
        <is>
          <t>G-17</t>
        </is>
      </c>
      <c r="B21" s="5" t="inlineStr">
        <is>
          <t>Phase 1A</t>
        </is>
      </c>
      <c r="C21" s="4" t="inlineStr">
        <is>
          <t>Build</t>
        </is>
      </c>
      <c r="D21" s="6" t="inlineStr">
        <is>
          <t>Every route into a quote opens the same dedicated quote workspace, and the global CRM navigation is replaced by the quote's own.</t>
        </is>
      </c>
      <c r="E21" s="4" t="inlineStr">
        <is>
          <t>Engineering</t>
        </is>
      </c>
      <c r="F21" s="20" t="inlineStr">
        <is>
          <t>Blocking</t>
        </is>
      </c>
      <c r="G21" s="4" t="inlineStr"/>
      <c r="H21" s="5" t="inlineStr">
        <is>
          <t>Not started</t>
        </is>
      </c>
      <c r="I21" s="5" t="inlineStr"/>
      <c r="J21" s="6" t="inlineStr"/>
    </row>
    <row r="22" ht="30" customHeight="1">
      <c r="A22" s="7" t="inlineStr">
        <is>
          <t>G-18</t>
        </is>
      </c>
      <c r="B22" s="8" t="inlineStr">
        <is>
          <t>Phase 1A</t>
        </is>
      </c>
      <c r="C22" s="7" t="inlineStr">
        <is>
          <t>Build</t>
        </is>
      </c>
      <c r="D22" s="9" t="inlineStr">
        <is>
          <t>The quote workspace shows quote identity, issuing company, linked deal, deal stage and option position, with working navigation back to the list and to the deal.</t>
        </is>
      </c>
      <c r="E22" s="7" t="inlineStr">
        <is>
          <t>Engineering + Design</t>
        </is>
      </c>
      <c r="F22" s="21" t="inlineStr">
        <is>
          <t>Blocking</t>
        </is>
      </c>
      <c r="G22" s="7" t="inlineStr"/>
      <c r="H22" s="8" t="inlineStr">
        <is>
          <t>Not started</t>
        </is>
      </c>
      <c r="I22" s="8" t="inlineStr"/>
      <c r="J22" s="9" t="inlineStr"/>
    </row>
    <row r="23" ht="30" customHeight="1">
      <c r="A23" s="4" t="inlineStr">
        <is>
          <t>G-19</t>
        </is>
      </c>
      <c r="B23" s="5" t="inlineStr">
        <is>
          <t>Phase 1A</t>
        </is>
      </c>
      <c r="C23" s="4" t="inlineStr">
        <is>
          <t>Build</t>
        </is>
      </c>
      <c r="D23" s="6" t="inlineStr">
        <is>
          <t>All Companies shows the owning company column and selecting one company hides it. Counts, search, grouping and rows respect both the permission and the filter.</t>
        </is>
      </c>
      <c r="E23" s="4" t="inlineStr">
        <is>
          <t>Engineering</t>
        </is>
      </c>
      <c r="F23" s="20" t="inlineStr">
        <is>
          <t>Blocking</t>
        </is>
      </c>
      <c r="G23" s="4" t="inlineStr"/>
      <c r="H23" s="5" t="inlineStr">
        <is>
          <t>Not started</t>
        </is>
      </c>
      <c r="I23" s="5" t="inlineStr"/>
      <c r="J23" s="6" t="inlineStr"/>
    </row>
    <row r="24" ht="30" customHeight="1">
      <c r="A24" s="7" t="inlineStr">
        <is>
          <t>G-20</t>
        </is>
      </c>
      <c r="B24" s="8" t="inlineStr">
        <is>
          <t>Phase 1A</t>
        </is>
      </c>
      <c r="C24" s="7" t="inlineStr">
        <is>
          <t>Build</t>
        </is>
      </c>
      <c r="D24" s="9" t="inlineStr">
        <is>
          <t>Link, Add option, Switch Deal and Unlink use explicit dialogues, inherit the required records and write audit history.</t>
        </is>
      </c>
      <c r="E24" s="7" t="inlineStr">
        <is>
          <t>Engineering</t>
        </is>
      </c>
      <c r="F24" s="21" t="inlineStr">
        <is>
          <t>Blocking</t>
        </is>
      </c>
      <c r="G24" s="7" t="inlineStr"/>
      <c r="H24" s="8" t="inlineStr">
        <is>
          <t>Not started</t>
        </is>
      </c>
      <c r="I24" s="8" t="inlineStr"/>
      <c r="J24" s="9" t="inlineStr"/>
    </row>
    <row r="25" ht="30" customHeight="1">
      <c r="A25" s="4" t="inlineStr">
        <is>
          <t>G-21</t>
        </is>
      </c>
      <c r="B25" s="5" t="inlineStr">
        <is>
          <t>Phase 1A</t>
        </is>
      </c>
      <c r="C25" s="4" t="inlineStr">
        <is>
          <t>Security</t>
        </is>
      </c>
      <c r="D25" s="6" t="inlineStr">
        <is>
          <t>A quote cannot be silently linked to a deal owned by another company. A cross-company exception requires an explicit permission and a confirmation the user sees.</t>
        </is>
      </c>
      <c r="E25" s="4" t="inlineStr">
        <is>
          <t>Engineering + Security</t>
        </is>
      </c>
      <c r="F25" s="20" t="inlineStr">
        <is>
          <t>Blocking</t>
        </is>
      </c>
      <c r="G25" s="4" t="inlineStr"/>
      <c r="H25" s="5" t="inlineStr">
        <is>
          <t>Not started</t>
        </is>
      </c>
      <c r="I25" s="5" t="inlineStr"/>
      <c r="J25" s="6" t="inlineStr"/>
    </row>
    <row r="26" ht="30" customHeight="1">
      <c r="A26" s="7" t="inlineStr">
        <is>
          <t>G-22</t>
        </is>
      </c>
      <c r="B26" s="8" t="inlineStr">
        <is>
          <t>Phase 1A</t>
        </is>
      </c>
      <c r="C26" s="7" t="inlineStr">
        <is>
          <t>Tests</t>
        </is>
      </c>
      <c r="D26" s="9" t="inlineStr">
        <is>
          <t>All eight precedence rules, each proven in isolation.</t>
        </is>
      </c>
      <c r="E26" s="7" t="inlineStr">
        <is>
          <t>QA</t>
        </is>
      </c>
      <c r="F26" s="21" t="inlineStr">
        <is>
          <t>Blocking</t>
        </is>
      </c>
      <c r="G26" s="7" t="inlineStr"/>
      <c r="H26" s="8" t="inlineStr">
        <is>
          <t>Not started</t>
        </is>
      </c>
      <c r="I26" s="8" t="inlineStr"/>
      <c r="J26" s="9" t="inlineStr"/>
    </row>
    <row r="27" ht="30" customHeight="1">
      <c r="A27" s="4" t="inlineStr">
        <is>
          <t>G-23</t>
        </is>
      </c>
      <c r="B27" s="5" t="inlineStr">
        <is>
          <t>Phase 1A</t>
        </is>
      </c>
      <c r="C27" s="4" t="inlineStr">
        <is>
          <t>Tests</t>
        </is>
      </c>
      <c r="D27" s="6" t="inlineStr">
        <is>
          <t>Each of the seven quote-inclusion clauses proven to exclude.</t>
        </is>
      </c>
      <c r="E27" s="4" t="inlineStr">
        <is>
          <t>QA</t>
        </is>
      </c>
      <c r="F27" s="20" t="inlineStr">
        <is>
          <t>Blocking</t>
        </is>
      </c>
      <c r="G27" s="4" t="inlineStr"/>
      <c r="H27" s="5" t="inlineStr">
        <is>
          <t>Not started</t>
        </is>
      </c>
      <c r="I27" s="5" t="inlineStr"/>
      <c r="J27" s="6" t="inlineStr"/>
    </row>
    <row r="28" ht="30" customHeight="1">
      <c r="A28" s="7" t="inlineStr">
        <is>
          <t>G-24</t>
        </is>
      </c>
      <c r="B28" s="8" t="inlineStr">
        <is>
          <t>Phase 1A</t>
        </is>
      </c>
      <c r="C28" s="7" t="inlineStr">
        <is>
          <t>Tests</t>
        </is>
      </c>
      <c r="D28" s="9" t="inlineStr">
        <is>
          <t>Both revision flags tested in all four combinations.</t>
        </is>
      </c>
      <c r="E28" s="7" t="inlineStr">
        <is>
          <t>QA</t>
        </is>
      </c>
      <c r="F28" s="21" t="inlineStr">
        <is>
          <t>Blocking</t>
        </is>
      </c>
      <c r="G28" s="7" t="inlineStr"/>
      <c r="H28" s="8" t="inlineStr">
        <is>
          <t>Not started</t>
        </is>
      </c>
      <c r="I28" s="8" t="inlineStr"/>
      <c r="J28" s="9" t="inlineStr"/>
    </row>
    <row r="29" ht="30" customHeight="1">
      <c r="A29" s="4" t="inlineStr">
        <is>
          <t>G-25</t>
        </is>
      </c>
      <c r="B29" s="5" t="inlineStr">
        <is>
          <t>Phase 1A</t>
        </is>
      </c>
      <c r="C29" s="4" t="inlineStr">
        <is>
          <t>Tests</t>
        </is>
      </c>
      <c r="D29" s="6" t="inlineStr">
        <is>
          <t>An event carrying another account's identifiers is rejected.</t>
        </is>
      </c>
      <c r="E29" s="4" t="inlineStr">
        <is>
          <t>QA</t>
        </is>
      </c>
      <c r="F29" s="20" t="inlineStr">
        <is>
          <t>Blocking</t>
        </is>
      </c>
      <c r="G29" s="4" t="inlineStr"/>
      <c r="H29" s="5" t="inlineStr">
        <is>
          <t>Not started</t>
        </is>
      </c>
      <c r="I29" s="5" t="inlineStr"/>
      <c r="J29" s="6" t="inlineStr"/>
    </row>
    <row r="30" ht="30" customHeight="1">
      <c r="A30" s="7" t="inlineStr">
        <is>
          <t>G-26</t>
        </is>
      </c>
      <c r="B30" s="8" t="inlineStr">
        <is>
          <t>Phase 1A</t>
        </is>
      </c>
      <c r="C30" s="7" t="inlineStr">
        <is>
          <t>Tests</t>
        </is>
      </c>
      <c r="D30" s="9" t="inlineStr">
        <is>
          <t>Quote-list row, options popover, deal bridge and a newly created option all reach the same workspace holding the correct record.</t>
        </is>
      </c>
      <c r="E30" s="7" t="inlineStr">
        <is>
          <t>QA</t>
        </is>
      </c>
      <c r="F30" s="21" t="inlineStr">
        <is>
          <t>Blocking</t>
        </is>
      </c>
      <c r="G30" s="7" t="inlineStr"/>
      <c r="H30" s="8" t="inlineStr">
        <is>
          <t>Not started</t>
        </is>
      </c>
      <c r="I30" s="8" t="inlineStr"/>
      <c r="J30" s="9" t="inlineStr"/>
    </row>
    <row r="31" ht="30" customHeight="1">
      <c r="A31" s="4" t="inlineStr">
        <is>
          <t>G-27</t>
        </is>
      </c>
      <c r="B31" s="5" t="inlineStr">
        <is>
          <t>Phase 1A</t>
        </is>
      </c>
      <c r="C31" s="4" t="inlineStr">
        <is>
          <t>Tests</t>
        </is>
      </c>
      <c r="D31" s="6" t="inlineStr">
        <is>
          <t>Company column visibility, counts, filters, Group by Deal and empty states proven for All Companies and for each permitted company.</t>
        </is>
      </c>
      <c r="E31" s="4" t="inlineStr">
        <is>
          <t>QA</t>
        </is>
      </c>
      <c r="F31" s="20" t="inlineStr">
        <is>
          <t>Blocking</t>
        </is>
      </c>
      <c r="G31" s="4" t="inlineStr"/>
      <c r="H31" s="5" t="inlineStr">
        <is>
          <t>Not started</t>
        </is>
      </c>
      <c r="I31" s="5" t="inlineStr"/>
      <c r="J31" s="6" t="inlineStr"/>
    </row>
    <row r="32" ht="30" customHeight="1">
      <c r="A32" s="7" t="inlineStr">
        <is>
          <t>G-28</t>
        </is>
      </c>
      <c r="B32" s="8" t="inlineStr">
        <is>
          <t>Phase 1A</t>
        </is>
      </c>
      <c r="C32" s="7" t="inlineStr">
        <is>
          <t>Tests</t>
        </is>
      </c>
      <c r="D32" s="9" t="inlineStr">
        <is>
          <t>Create, link, switch and unlink proven for linked, unlinked, cross-company, Won, cancelled and deleted quotes.</t>
        </is>
      </c>
      <c r="E32" s="7" t="inlineStr">
        <is>
          <t>QA</t>
        </is>
      </c>
      <c r="F32" s="21" t="inlineStr">
        <is>
          <t>Blocking</t>
        </is>
      </c>
      <c r="G32" s="7" t="inlineStr"/>
      <c r="H32" s="8" t="inlineStr">
        <is>
          <t>Not started</t>
        </is>
      </c>
      <c r="I32" s="8" t="inlineStr"/>
      <c r="J32" s="9" t="inlineStr"/>
    </row>
    <row r="33" ht="30" customHeight="1">
      <c r="A33" s="4" t="inlineStr">
        <is>
          <t>G-29</t>
        </is>
      </c>
      <c r="B33" s="5" t="inlineStr">
        <is>
          <t>Phase 1A</t>
        </is>
      </c>
      <c r="C33" s="4" t="inlineStr">
        <is>
          <t>Tests</t>
        </is>
      </c>
      <c r="D33" s="6" t="inlineStr">
        <is>
          <t>Multiple-option acceptance resolves one winner, the sibling outcomes, the deal stage, engagement counts, activity and invoice idempotency.</t>
        </is>
      </c>
      <c r="E33" s="4" t="inlineStr">
        <is>
          <t>QA</t>
        </is>
      </c>
      <c r="F33" s="20" t="inlineStr">
        <is>
          <t>Blocking</t>
        </is>
      </c>
      <c r="G33" s="4" t="inlineStr"/>
      <c r="H33" s="5" t="inlineStr">
        <is>
          <t>Not started</t>
        </is>
      </c>
      <c r="I33" s="5" t="inlineStr"/>
      <c r="J33" s="6" t="inlineStr"/>
    </row>
    <row r="34" ht="30" customHeight="1">
      <c r="A34" s="7" t="inlineStr">
        <is>
          <t>G-30</t>
        </is>
      </c>
      <c r="B34" s="8" t="inlineStr">
        <is>
          <t>Phase 1A</t>
        </is>
      </c>
      <c r="C34" s="7" t="inlineStr">
        <is>
          <t>Flags</t>
        </is>
      </c>
      <c r="D34" s="9" t="inlineStr">
        <is>
          <t>Site Ready custom stage hidden until Phase 2.</t>
        </is>
      </c>
      <c r="E34" s="7" t="inlineStr">
        <is>
          <t>Engineering</t>
        </is>
      </c>
      <c r="F34" s="21" t="inlineStr">
        <is>
          <t>Blocking</t>
        </is>
      </c>
      <c r="G34" s="7" t="inlineStr"/>
      <c r="H34" s="8" t="inlineStr">
        <is>
          <t>Not started</t>
        </is>
      </c>
      <c r="I34" s="8" t="inlineStr"/>
      <c r="J34" s="9" t="inlineStr"/>
    </row>
    <row r="35" ht="30" customHeight="1">
      <c r="A35" s="4" t="inlineStr">
        <is>
          <t>G-31</t>
        </is>
      </c>
      <c r="B35" s="5" t="inlineStr">
        <is>
          <t>Phase 1A</t>
        </is>
      </c>
      <c r="C35" s="4" t="inlineStr">
        <is>
          <t>Flags</t>
        </is>
      </c>
      <c r="D35" s="6" t="inlineStr">
        <is>
          <t>Commit Forecast and Stage-weighted views hidden until Phase 2.</t>
        </is>
      </c>
      <c r="E35" s="4" t="inlineStr">
        <is>
          <t>Engineering</t>
        </is>
      </c>
      <c r="F35" s="20" t="inlineStr">
        <is>
          <t>Blocking</t>
        </is>
      </c>
      <c r="G35" s="4" t="inlineStr"/>
      <c r="H35" s="5" t="inlineStr">
        <is>
          <t>Not started</t>
        </is>
      </c>
      <c r="I35" s="5" t="inlineStr"/>
      <c r="J35" s="6" t="inlineStr"/>
    </row>
    <row r="36" ht="30" customHeight="1">
      <c r="A36" s="7" t="inlineStr">
        <is>
          <t>G-32</t>
        </is>
      </c>
      <c r="B36" s="8" t="inlineStr">
        <is>
          <t>Phase 1A</t>
        </is>
      </c>
      <c r="C36" s="7" t="inlineStr">
        <is>
          <t>Handoff</t>
        </is>
      </c>
      <c r="D36" s="9" t="inlineStr">
        <is>
          <t>Conflict register (§C1) signed off, every row resolved or explicitly deferred.</t>
        </is>
      </c>
      <c r="E36" s="7" t="inlineStr">
        <is>
          <t>Product</t>
        </is>
      </c>
      <c r="F36" s="21" t="inlineStr">
        <is>
          <t>Blocking</t>
        </is>
      </c>
      <c r="G36" s="7" t="inlineStr"/>
      <c r="H36" s="8" t="inlineStr">
        <is>
          <t>Not started</t>
        </is>
      </c>
      <c r="I36" s="8" t="inlineStr"/>
      <c r="J36" s="9" t="inlineStr"/>
    </row>
    <row r="37" ht="30" customHeight="1">
      <c r="A37" s="4" t="inlineStr">
        <is>
          <t>G-33</t>
        </is>
      </c>
      <c r="B37" s="5" t="inlineStr">
        <is>
          <t>Phase 1A</t>
        </is>
      </c>
      <c r="C37" s="4" t="inlineStr">
        <is>
          <t>Handoff</t>
        </is>
      </c>
      <c r="D37" s="6" t="inlineStr">
        <is>
          <t>Margin definition written down: what each of the four figures includes.</t>
        </is>
      </c>
      <c r="E37" s="4" t="inlineStr">
        <is>
          <t>Product</t>
        </is>
      </c>
      <c r="F37" s="5" t="inlineStr">
        <is>
          <t>Track</t>
        </is>
      </c>
      <c r="G37" s="4" t="inlineStr"/>
      <c r="H37" s="5" t="inlineStr">
        <is>
          <t>Not started</t>
        </is>
      </c>
      <c r="I37" s="5" t="inlineStr"/>
      <c r="J37" s="6" t="inlineStr"/>
    </row>
    <row r="38" ht="30" customHeight="1">
      <c r="A38" s="7" t="inlineStr">
        <is>
          <t>G-34</t>
        </is>
      </c>
      <c r="B38" s="8" t="inlineStr">
        <is>
          <t>Phase 1A</t>
        </is>
      </c>
      <c r="C38" s="7" t="inlineStr">
        <is>
          <t>Handoff</t>
        </is>
      </c>
      <c r="D38" s="9" t="inlineStr">
        <is>
          <t>Product copy defines quote, option, revision, alternative group, linked deal, issuing company, Rejected, Cancelled, Expired, Lost and Archived consistently.</t>
        </is>
      </c>
      <c r="E38" s="7" t="inlineStr">
        <is>
          <t>Product</t>
        </is>
      </c>
      <c r="F38" s="8" t="inlineStr">
        <is>
          <t>Track</t>
        </is>
      </c>
      <c r="G38" s="7" t="inlineStr"/>
      <c r="H38" s="8" t="inlineStr">
        <is>
          <t>Not started</t>
        </is>
      </c>
      <c r="I38" s="8" t="inlineStr"/>
      <c r="J38" s="9" t="inlineStr"/>
    </row>
    <row r="39" ht="30" customHeight="1">
      <c r="A39" s="4" t="inlineStr">
        <is>
          <t>G-35</t>
        </is>
      </c>
      <c r="B39" s="5" t="inlineStr">
        <is>
          <t>Phase 1B</t>
        </is>
      </c>
      <c r="C39" s="4" t="inlineStr">
        <is>
          <t>Decisions</t>
        </is>
      </c>
      <c r="D39" s="6" t="inlineStr">
        <is>
          <t>D7 — whose approval threshold applies on a high-value quote.</t>
        </is>
      </c>
      <c r="E39" s="4" t="inlineStr">
        <is>
          <t>Product</t>
        </is>
      </c>
      <c r="F39" s="20" t="inlineStr">
        <is>
          <t>Blocking</t>
        </is>
      </c>
      <c r="G39" s="4" t="inlineStr"/>
      <c r="H39" s="5" t="inlineStr">
        <is>
          <t>Not started</t>
        </is>
      </c>
      <c r="I39" s="5" t="inlineStr"/>
      <c r="J39" s="6" t="inlineStr"/>
    </row>
    <row r="40" ht="30" customHeight="1">
      <c r="A40" s="7" t="inlineStr">
        <is>
          <t>G-36</t>
        </is>
      </c>
      <c r="B40" s="8" t="inlineStr">
        <is>
          <t>Phase 1B</t>
        </is>
      </c>
      <c r="C40" s="7" t="inlineStr">
        <is>
          <t>Build</t>
        </is>
      </c>
      <c r="D40" s="9" t="inlineStr">
        <is>
          <t>One shared description of a flow, with versions stored server-side. Browser storage does not satisfy this.</t>
        </is>
      </c>
      <c r="E40" s="7" t="inlineStr">
        <is>
          <t>Engineering</t>
        </is>
      </c>
      <c r="F40" s="21" t="inlineStr">
        <is>
          <t>Blocking</t>
        </is>
      </c>
      <c r="G40" s="7" t="inlineStr"/>
      <c r="H40" s="8" t="inlineStr">
        <is>
          <t>Not started</t>
        </is>
      </c>
      <c r="I40" s="8" t="inlineStr"/>
      <c r="J40" s="9" t="inlineStr"/>
    </row>
    <row r="41" ht="30" customHeight="1">
      <c r="A41" s="4" t="inlineStr">
        <is>
          <t>G-37</t>
        </is>
      </c>
      <c r="B41" s="5" t="inlineStr">
        <is>
          <t>Phase 1B</t>
        </is>
      </c>
      <c r="C41" s="4" t="inlineStr">
        <is>
          <t>Build</t>
        </is>
      </c>
      <c r="D41" s="6" t="inlineStr">
        <is>
          <t>Recipe settings can be changed without opening the canvas.</t>
        </is>
      </c>
      <c r="E41" s="4" t="inlineStr">
        <is>
          <t>Engineering</t>
        </is>
      </c>
      <c r="F41" s="20" t="inlineStr">
        <is>
          <t>Blocking</t>
        </is>
      </c>
      <c r="G41" s="4" t="inlineStr"/>
      <c r="H41" s="5" t="inlineStr">
        <is>
          <t>Not started</t>
        </is>
      </c>
      <c r="I41" s="5" t="inlineStr"/>
      <c r="J41" s="6" t="inlineStr"/>
    </row>
    <row r="42" ht="30" customHeight="1">
      <c r="A42" s="7" t="inlineStr">
        <is>
          <t>G-38</t>
        </is>
      </c>
      <c r="B42" s="8" t="inlineStr">
        <is>
          <t>Phase 1B</t>
        </is>
      </c>
      <c r="C42" s="7" t="inlineStr">
        <is>
          <t>Build</t>
        </is>
      </c>
      <c r="D42" s="9" t="inlineStr">
        <is>
          <t>Every recipe carries a company scope, visible everywhere it is listed.</t>
        </is>
      </c>
      <c r="E42" s="7" t="inlineStr">
        <is>
          <t>Engineering</t>
        </is>
      </c>
      <c r="F42" s="21" t="inlineStr">
        <is>
          <t>Blocking</t>
        </is>
      </c>
      <c r="G42" s="7" t="inlineStr"/>
      <c r="H42" s="8" t="inlineStr">
        <is>
          <t>Not started</t>
        </is>
      </c>
      <c r="I42" s="8" t="inlineStr"/>
      <c r="J42" s="9" t="inlineStr"/>
    </row>
    <row r="43" ht="30" customHeight="1">
      <c r="A43" s="4" t="inlineStr">
        <is>
          <t>G-39</t>
        </is>
      </c>
      <c r="B43" s="5" t="inlineStr">
        <is>
          <t>Phase 1B</t>
        </is>
      </c>
      <c r="C43" s="4" t="inlineStr">
        <is>
          <t>Build</t>
        </is>
      </c>
      <c r="D43" s="6" t="inlineStr">
        <is>
          <t>Timed recipes have a real work queue: persistence, worker, working days, timezone, cancellation when a record leaves the stage.</t>
        </is>
      </c>
      <c r="E43" s="4" t="inlineStr">
        <is>
          <t>Engineering</t>
        </is>
      </c>
      <c r="F43" s="20" t="inlineStr">
        <is>
          <t>Blocking</t>
        </is>
      </c>
      <c r="G43" s="4" t="inlineStr"/>
      <c r="H43" s="5" t="inlineStr">
        <is>
          <t>Not started</t>
        </is>
      </c>
      <c r="I43" s="5" t="inlineStr"/>
      <c r="J43" s="6" t="inlineStr"/>
    </row>
    <row r="44" ht="30" customHeight="1">
      <c r="A44" s="7" t="inlineStr">
        <is>
          <t>G-40</t>
        </is>
      </c>
      <c r="B44" s="8" t="inlineStr">
        <is>
          <t>Phase 1B</t>
        </is>
      </c>
      <c r="C44" s="7" t="inlineStr">
        <is>
          <t>Tests</t>
        </is>
      </c>
      <c r="D44" s="9" t="inlineStr">
        <is>
          <t>Replaying the same event creates nothing twice, for every action type.</t>
        </is>
      </c>
      <c r="E44" s="7" t="inlineStr">
        <is>
          <t>QA</t>
        </is>
      </c>
      <c r="F44" s="21" t="inlineStr">
        <is>
          <t>Blocking</t>
        </is>
      </c>
      <c r="G44" s="7" t="inlineStr"/>
      <c r="H44" s="8" t="inlineStr">
        <is>
          <t>Not started</t>
        </is>
      </c>
      <c r="I44" s="8" t="inlineStr"/>
      <c r="J44" s="9" t="inlineStr"/>
    </row>
    <row r="45" ht="30" customHeight="1">
      <c r="A45" s="4" t="inlineStr">
        <is>
          <t>G-41</t>
        </is>
      </c>
      <c r="B45" s="5" t="inlineStr">
        <is>
          <t>Phase 1B</t>
        </is>
      </c>
      <c r="C45" s="4" t="inlineStr">
        <is>
          <t>Tests</t>
        </is>
      </c>
      <c r="D45" s="6" t="inlineStr">
        <is>
          <t>Work already in flight finishes on the version it started with.</t>
        </is>
      </c>
      <c r="E45" s="4" t="inlineStr">
        <is>
          <t>QA</t>
        </is>
      </c>
      <c r="F45" s="20" t="inlineStr">
        <is>
          <t>Blocking</t>
        </is>
      </c>
      <c r="G45" s="4" t="inlineStr"/>
      <c r="H45" s="5" t="inlineStr">
        <is>
          <t>Not started</t>
        </is>
      </c>
      <c r="I45" s="5" t="inlineStr"/>
      <c r="J45" s="6" t="inlineStr"/>
    </row>
    <row r="46" ht="30" customHeight="1">
      <c r="A46" s="7" t="inlineStr">
        <is>
          <t>G-42</t>
        </is>
      </c>
      <c r="B46" s="8" t="inlineStr">
        <is>
          <t>Phase 1B</t>
        </is>
      </c>
      <c r="C46" s="7" t="inlineStr">
        <is>
          <t>Tests</t>
        </is>
      </c>
      <c r="D46" s="9" t="inlineStr">
        <is>
          <t>Only one change order can be open per quote.</t>
        </is>
      </c>
      <c r="E46" s="7" t="inlineStr">
        <is>
          <t>QA</t>
        </is>
      </c>
      <c r="F46" s="21" t="inlineStr">
        <is>
          <t>Blocking</t>
        </is>
      </c>
      <c r="G46" s="7" t="inlineStr"/>
      <c r="H46" s="8" t="inlineStr">
        <is>
          <t>Not started</t>
        </is>
      </c>
      <c r="I46" s="8" t="inlineStr"/>
      <c r="J46" s="9" t="inlineStr"/>
    </row>
    <row r="47" ht="30" customHeight="1">
      <c r="A47" s="4" t="inlineStr">
        <is>
          <t>G-43</t>
        </is>
      </c>
      <c r="B47" s="5" t="inlineStr">
        <is>
          <t>Phase 1B</t>
        </is>
      </c>
      <c r="C47" s="4" t="inlineStr">
        <is>
          <t>Handoff</t>
        </is>
      </c>
      <c r="D47" s="6" t="inlineStr">
        <is>
          <t>All twelve recipes are defined and configurable. A timed recipe cannot be switched on until the production work queue exists.</t>
        </is>
      </c>
      <c r="E47" s="4" t="inlineStr">
        <is>
          <t>Product</t>
        </is>
      </c>
      <c r="F47" s="20" t="inlineStr">
        <is>
          <t>Blocking</t>
        </is>
      </c>
      <c r="G47" s="4" t="inlineStr"/>
      <c r="H47" s="5" t="inlineStr">
        <is>
          <t>Not started</t>
        </is>
      </c>
      <c r="I47" s="5" t="inlineStr"/>
      <c r="J47" s="6" t="inlineStr"/>
    </row>
    <row r="48" ht="30" customHeight="1">
      <c r="A48" s="7" t="inlineStr">
        <is>
          <t>G-44</t>
        </is>
      </c>
      <c r="B48" s="8" t="inlineStr">
        <is>
          <t>Phase 1B</t>
        </is>
      </c>
      <c r="C48" s="7" t="inlineStr">
        <is>
          <t>Handoff</t>
        </is>
      </c>
      <c r="D48" s="9" t="inlineStr">
        <is>
          <t>Event-driven recipes ship first. Timed recipes stay unavailable, not merely inactive, until the queue lands.</t>
        </is>
      </c>
      <c r="E48" s="7" t="inlineStr">
        <is>
          <t>Engineering</t>
        </is>
      </c>
      <c r="F48" s="8" t="inlineStr">
        <is>
          <t>Track</t>
        </is>
      </c>
      <c r="G48" s="7" t="inlineStr"/>
      <c r="H48" s="8" t="inlineStr">
        <is>
          <t>Not started</t>
        </is>
      </c>
      <c r="I48" s="8" t="inlineStr"/>
      <c r="J48" s="9" t="inlineStr"/>
    </row>
    <row r="49" ht="30" customHeight="1">
      <c r="A49" s="4" t="inlineStr">
        <is>
          <t>G-45</t>
        </is>
      </c>
      <c r="B49" s="5" t="inlineStr">
        <is>
          <t>Phase 1C</t>
        </is>
      </c>
      <c r="C49" s="4" t="inlineStr">
        <is>
          <t>Build</t>
        </is>
      </c>
      <c r="D49" s="6" t="inlineStr">
        <is>
          <t>The block list is built from one shared source. No per-stage hard-coded lists, and placement never used as a permission key (FR-33).</t>
        </is>
      </c>
      <c r="E49" s="4" t="inlineStr">
        <is>
          <t>Engineering</t>
        </is>
      </c>
      <c r="F49" s="20" t="inlineStr">
        <is>
          <t>Blocking</t>
        </is>
      </c>
      <c r="G49" s="4" t="inlineStr"/>
      <c r="H49" s="5" t="inlineStr">
        <is>
          <t>Not started</t>
        </is>
      </c>
      <c r="I49" s="5" t="inlineStr"/>
      <c r="J49" s="6" t="inlineStr"/>
    </row>
    <row r="50" ht="30" customHeight="1">
      <c r="A50" s="7" t="inlineStr">
        <is>
          <t>G-46</t>
        </is>
      </c>
      <c r="B50" s="8" t="inlineStr">
        <is>
          <t>Phase 1C</t>
        </is>
      </c>
      <c r="C50" s="7" t="inlineStr">
        <is>
          <t>Build</t>
        </is>
      </c>
      <c r="D50" s="9" t="inlineStr">
        <is>
          <t>Draft, optional test and publish, with publishing blocked only by a real conflict.</t>
        </is>
      </c>
      <c r="E50" s="7" t="inlineStr">
        <is>
          <t>Engineering</t>
        </is>
      </c>
      <c r="F50" s="21" t="inlineStr">
        <is>
          <t>Blocking</t>
        </is>
      </c>
      <c r="G50" s="7" t="inlineStr"/>
      <c r="H50" s="8" t="inlineStr">
        <is>
          <t>Not started</t>
        </is>
      </c>
      <c r="I50" s="8" t="inlineStr"/>
      <c r="J50" s="9" t="inlineStr"/>
    </row>
    <row r="51" ht="30" customHeight="1">
      <c r="A51" s="4" t="inlineStr">
        <is>
          <t>G-47</t>
        </is>
      </c>
      <c r="B51" s="5" t="inlineStr">
        <is>
          <t>Phase 1C</t>
        </is>
      </c>
      <c r="C51" s="4" t="inlineStr">
        <is>
          <t>Build</t>
        </is>
      </c>
      <c r="D51" s="6" t="inlineStr">
        <is>
          <t>Required-work gate collects every outstanding item and resumes the exact original action.</t>
        </is>
      </c>
      <c r="E51" s="4" t="inlineStr">
        <is>
          <t>Engineering</t>
        </is>
      </c>
      <c r="F51" s="20" t="inlineStr">
        <is>
          <t>Blocking</t>
        </is>
      </c>
      <c r="G51" s="4" t="inlineStr"/>
      <c r="H51" s="5" t="inlineStr">
        <is>
          <t>Not started</t>
        </is>
      </c>
      <c r="I51" s="5" t="inlineStr"/>
      <c r="J51" s="6" t="inlineStr"/>
    </row>
    <row r="52" ht="30" customHeight="1">
      <c r="A52" s="7" t="inlineStr">
        <is>
          <t>G-48</t>
        </is>
      </c>
      <c r="B52" s="8" t="inlineStr">
        <is>
          <t>Phase 1C</t>
        </is>
      </c>
      <c r="C52" s="7" t="inlineStr">
        <is>
          <t>Tests</t>
        </is>
      </c>
      <c r="D52" s="9" t="inlineStr">
        <is>
          <t>The shared core block list is identical in all seven protected stages. Stage-specific quote events and rules appear only where they can genuinely occur.</t>
        </is>
      </c>
      <c r="E52" s="7" t="inlineStr">
        <is>
          <t>QA</t>
        </is>
      </c>
      <c r="F52" s="21" t="inlineStr">
        <is>
          <t>Blocking</t>
        </is>
      </c>
      <c r="G52" s="7" t="inlineStr"/>
      <c r="H52" s="8" t="inlineStr">
        <is>
          <t>Not started</t>
        </is>
      </c>
      <c r="I52" s="8" t="inlineStr"/>
      <c r="J52" s="9" t="inlineStr"/>
    </row>
    <row r="53" ht="30" customHeight="1">
      <c r="A53" s="4" t="inlineStr">
        <is>
          <t>G-49</t>
        </is>
      </c>
      <c r="B53" s="5" t="inlineStr">
        <is>
          <t>Phase 1C</t>
        </is>
      </c>
      <c r="C53" s="4" t="inlineStr">
        <is>
          <t>Tests</t>
        </is>
      </c>
      <c r="D53" s="6" t="inlineStr">
        <is>
          <t>A draft or test never changes the live version.</t>
        </is>
      </c>
      <c r="E53" s="4" t="inlineStr">
        <is>
          <t>QA</t>
        </is>
      </c>
      <c r="F53" s="20" t="inlineStr">
        <is>
          <t>Blocking</t>
        </is>
      </c>
      <c r="G53" s="4" t="inlineStr"/>
      <c r="H53" s="5" t="inlineStr">
        <is>
          <t>Not started</t>
        </is>
      </c>
      <c r="I53" s="5" t="inlineStr"/>
      <c r="J53" s="6" t="inlineStr"/>
    </row>
    <row r="54" ht="30" customHeight="1">
      <c r="A54" s="7" t="inlineStr">
        <is>
          <t>G-50</t>
        </is>
      </c>
      <c r="B54" s="8" t="inlineStr">
        <is>
          <t>Phase 1C</t>
        </is>
      </c>
      <c r="C54" s="7" t="inlineStr">
        <is>
          <t>Handoff</t>
        </is>
      </c>
      <c r="D54" s="9" t="inlineStr">
        <is>
          <t>"Open as an editable copy" documented as one-way, with no promise of returning to the simple form.</t>
        </is>
      </c>
      <c r="E54" s="7" t="inlineStr">
        <is>
          <t>Design</t>
        </is>
      </c>
      <c r="F54" s="8" t="inlineStr">
        <is>
          <t>Track</t>
        </is>
      </c>
      <c r="G54" s="7" t="inlineStr"/>
      <c r="H54" s="8" t="inlineStr">
        <is>
          <t>Not started</t>
        </is>
      </c>
      <c r="I54" s="8" t="inlineStr"/>
      <c r="J54" s="9" t="inlineStr"/>
    </row>
    <row r="56">
      <c r="A56" s="17" t="inlineStr">
        <is>
          <t>Gate by release</t>
        </is>
      </c>
    </row>
    <row r="57">
      <c r="A57" s="22" t="inlineStr">
        <is>
          <t>Release</t>
        </is>
      </c>
      <c r="B57" s="22" t="inlineStr">
        <is>
          <t>Total</t>
        </is>
      </c>
      <c r="C57" s="22" t="inlineStr">
        <is>
          <t>Done</t>
        </is>
      </c>
      <c r="D57" s="22" t="inlineStr">
        <is>
          <t>Blocking outstanding</t>
        </is>
      </c>
      <c r="E57" s="22" t="inlineStr">
        <is>
          <t>Verdict</t>
        </is>
      </c>
    </row>
    <row r="58">
      <c r="A58" s="10" t="inlineStr">
        <is>
          <t>Phase 1A</t>
        </is>
      </c>
      <c r="B58" s="5">
        <f>COUNTIF($B$5:$B$54,"Phase 1A")</f>
        <v/>
      </c>
      <c r="C58" s="5">
        <f>COUNTIFS($B$5:$B$54,"Phase 1A",$H$5:$H$54,"Done")</f>
        <v/>
      </c>
      <c r="D58" s="5">
        <f>COUNTIFS($B$5:$B$54,"Phase 1A",$F$5:$F$54,"Blocking")-COUNTIFS($B$5:$B$54,"Phase 1A",$F$5:$F$54,"Blocking",$H$5:$H$54,"Done")</f>
        <v/>
      </c>
      <c r="E58" s="11">
        <f>IF(D58=0,"Gate clear","Blocked — "&amp;D58&amp;" outstanding")</f>
        <v/>
      </c>
    </row>
    <row r="59">
      <c r="A59" s="10" t="inlineStr">
        <is>
          <t>Phase 1B</t>
        </is>
      </c>
      <c r="B59" s="5">
        <f>COUNTIF($B$5:$B$54,"Phase 1B")</f>
        <v/>
      </c>
      <c r="C59" s="5">
        <f>COUNTIFS($B$5:$B$54,"Phase 1B",$H$5:$H$54,"Done")</f>
        <v/>
      </c>
      <c r="D59" s="5">
        <f>COUNTIFS($B$5:$B$54,"Phase 1B",$F$5:$F$54,"Blocking")-COUNTIFS($B$5:$B$54,"Phase 1B",$F$5:$F$54,"Blocking",$H$5:$H$54,"Done")</f>
        <v/>
      </c>
      <c r="E59" s="11">
        <f>IF(D59=0,"Gate clear","Blocked — "&amp;D59&amp;" outstanding")</f>
        <v/>
      </c>
    </row>
    <row r="60">
      <c r="A60" s="10" t="inlineStr">
        <is>
          <t>Phase 1C</t>
        </is>
      </c>
      <c r="B60" s="5">
        <f>COUNTIF($B$5:$B$54,"Phase 1C")</f>
        <v/>
      </c>
      <c r="C60" s="5">
        <f>COUNTIFS($B$5:$B$54,"Phase 1C",$H$5:$H$54,"Done")</f>
        <v/>
      </c>
      <c r="D60" s="5">
        <f>COUNTIFS($B$5:$B$54,"Phase 1C",$F$5:$F$54,"Blocking")-COUNTIFS($B$5:$B$54,"Phase 1C",$F$5:$F$54,"Blocking",$H$5:$H$54,"Done")</f>
        <v/>
      </c>
      <c r="E60" s="11">
        <f>IF(D60=0,"Gate clear","Blocked — "&amp;D60&amp;" outstanding")</f>
        <v/>
      </c>
    </row>
    <row r="61">
      <c r="A61" s="17" t="inlineStr">
        <is>
          <t>Rows missing Owner or Target date</t>
        </is>
      </c>
      <c r="B61" s="19">
        <f>COUNTIF($G$5:$G$54,"")+COUNTIF($I$5:$I$54,"")</f>
        <v/>
      </c>
    </row>
    <row r="62">
      <c r="A62" s="2" t="inlineStr">
        <is>
          <t>Every gate row needs a named owner and a target date before the release is planned.</t>
        </is>
      </c>
    </row>
  </sheetData>
  <autoFilter ref="A4:J54"/>
  <conditionalFormatting sqref="H5:H54">
    <cfRule type="cellIs" priority="1" operator="equal" dxfId="0">
      <formula>"Done"</formula>
    </cfRule>
    <cfRule type="cellIs" priority="2" operator="equal" dxfId="5">
      <formula>"Blocked"</formula>
    </cfRule>
    <cfRule type="cellIs" priority="3" operator="equal" dxfId="6">
      <formula>"In progress"</formula>
    </cfRule>
    <cfRule type="cellIs" priority="4" operator="equal" dxfId="4">
      <formula>"Not started"</formula>
    </cfRule>
  </conditionalFormatting>
  <dataValidations count="1">
    <dataValidation sqref="H5:H54" showDropDown="0" showInputMessage="0" showErrorMessage="0" allowBlank="0" type="list">
      <formula1>"Not started,In progress,Done,Blocked,N/A"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52" customWidth="1" min="2" max="2"/>
    <col width="20" customWidth="1" min="3" max="3"/>
    <col width="22" customWidth="1" min="4" max="4"/>
    <col width="12" customWidth="1" min="5" max="5"/>
    <col width="10" customWidth="1" min="6" max="6"/>
    <col width="15" customWidth="1" min="7" max="7"/>
    <col width="12" customWidth="1" min="8" max="8"/>
    <col width="13" customWidth="1" min="9" max="9"/>
    <col width="46" customWidth="1" min="10" max="10"/>
  </cols>
  <sheetData>
    <row r="1">
      <c r="A1" s="1" t="inlineStr">
        <is>
          <t>Traceability — locked rule to evidence</t>
        </is>
      </c>
    </row>
    <row r="2">
      <c r="A2" s="2" t="inlineStr">
        <is>
          <t>One row per link. Status is live: it reads the QA case's own result. A rule is only proven when every linked case passes.</t>
        </is>
      </c>
    </row>
    <row r="4">
      <c r="A4" s="3" t="inlineStr">
        <is>
          <t>Rule</t>
        </is>
      </c>
      <c r="B4" s="3" t="inlineStr">
        <is>
          <t>Statement</t>
        </is>
      </c>
      <c r="C4" s="3" t="inlineStr">
        <is>
          <t>Requirement</t>
        </is>
      </c>
      <c r="D4" s="3" t="inlineStr">
        <is>
          <t>Acceptance criterion</t>
        </is>
      </c>
      <c r="E4" s="3" t="inlineStr">
        <is>
          <t>QA sheet</t>
        </is>
      </c>
      <c r="F4" s="3" t="inlineStr">
        <is>
          <t>QA case</t>
        </is>
      </c>
      <c r="G4" s="3" t="inlineStr">
        <is>
          <t>Delivery gate</t>
        </is>
      </c>
      <c r="H4" s="3" t="inlineStr">
        <is>
          <t>Applies from</t>
        </is>
      </c>
      <c r="I4" s="3" t="inlineStr">
        <is>
          <t>Live status</t>
        </is>
      </c>
      <c r="J4" s="3" t="inlineStr">
        <is>
          <t>Gap / note</t>
        </is>
      </c>
    </row>
    <row r="5" ht="30" customHeight="1">
      <c r="A5" s="8" t="n">
        <v>1</v>
      </c>
      <c r="B5" s="9" t="inlineStr">
        <is>
          <t>Creating the first related quote moves the Deal from Qualified to In Progress.</t>
        </is>
      </c>
      <c r="C5" s="7" t="inlineStr">
        <is>
          <t>— (no FR states the transition)</t>
        </is>
      </c>
      <c r="D5" s="7" t="inlineStr">
        <is>
          <t>AC-DEAL-01</t>
        </is>
      </c>
      <c r="E5" s="8" t="inlineStr">
        <is>
          <t>Phase 1A</t>
        </is>
      </c>
      <c r="F5" s="8" t="inlineStr">
        <is>
          <t>1A-08</t>
        </is>
      </c>
      <c r="G5" s="7" t="inlineStr">
        <is>
          <t>G-12</t>
        </is>
      </c>
      <c r="H5" s="8" t="inlineStr">
        <is>
          <t>Phase 1A</t>
        </is>
      </c>
      <c r="I5" s="8">
        <f>IFERROR(INDEX('Phase 1A'!$K$5:$K$76,MATCH("1A-08",'Phase 1A'!$A$5:$A$76,0)),"not found")</f>
        <v/>
      </c>
      <c r="J5" s="25" t="inlineStr">
        <is>
          <t>GAP: the transition is stated in §A6 and tested, but no functional requirement carries it. Add one, or cite §A6 explicitly.</t>
        </is>
      </c>
    </row>
    <row r="6" ht="30" customHeight="1">
      <c r="A6" s="8" t="inlineStr"/>
      <c r="B6" s="9" t="inlineStr"/>
      <c r="C6" s="7" t="inlineStr"/>
      <c r="D6" s="7" t="inlineStr"/>
      <c r="E6" s="8" t="inlineStr">
        <is>
          <t>Regression</t>
        </is>
      </c>
      <c r="F6" s="8" t="inlineStr">
        <is>
          <t>REG-01</t>
        </is>
      </c>
      <c r="G6" s="7" t="inlineStr"/>
      <c r="H6" s="8" t="inlineStr"/>
      <c r="I6" s="8">
        <f>IFERROR(INDEX('Regression'!$K$5:$K$10,MATCH("REG-01",'Regression'!$A$5:$A$10,0)),"not found")</f>
        <v/>
      </c>
      <c r="J6" s="9" t="inlineStr"/>
    </row>
    <row r="7" ht="30" customHeight="1">
      <c r="A7" s="5" t="n">
        <v>2</v>
      </c>
      <c r="B7" s="6" t="inlineStr">
        <is>
          <t>Any relevant quote being accepted makes the Deal Won. Remaining groups change the signed value, never the stage.</t>
        </is>
      </c>
      <c r="C7" s="4" t="inlineStr">
        <is>
          <t>FR-16, FR-17</t>
        </is>
      </c>
      <c r="D7" s="4" t="inlineStr">
        <is>
          <t>AC-DEAL-01, AC-DEAL-07</t>
        </is>
      </c>
      <c r="E7" s="5" t="inlineStr">
        <is>
          <t>Phase 1A</t>
        </is>
      </c>
      <c r="F7" s="5" t="inlineStr">
        <is>
          <t>1A-14</t>
        </is>
      </c>
      <c r="G7" s="4" t="inlineStr">
        <is>
          <t>G-22</t>
        </is>
      </c>
      <c r="H7" s="5" t="inlineStr">
        <is>
          <t>Phase 1A</t>
        </is>
      </c>
      <c r="I7" s="5">
        <f>IFERROR(INDEX('Phase 1A'!$K$5:$K$76,MATCH("1A-14",'Phase 1A'!$A$5:$A$76,0)),"not found")</f>
        <v/>
      </c>
      <c r="J7" s="6" t="inlineStr"/>
    </row>
    <row r="8" ht="30" customHeight="1">
      <c r="A8" s="5" t="inlineStr"/>
      <c r="B8" s="6" t="inlineStr"/>
      <c r="C8" s="4" t="inlineStr"/>
      <c r="D8" s="4" t="inlineStr"/>
      <c r="E8" s="5" t="inlineStr">
        <is>
          <t>Phase 1A</t>
        </is>
      </c>
      <c r="F8" s="5" t="inlineStr">
        <is>
          <t>1A-15</t>
        </is>
      </c>
      <c r="G8" s="4" t="inlineStr"/>
      <c r="H8" s="5" t="inlineStr"/>
      <c r="I8" s="5">
        <f>IFERROR(INDEX('Phase 1A'!$K$5:$K$76,MATCH("1A-15",'Phase 1A'!$A$5:$A$76,0)),"not found")</f>
        <v/>
      </c>
      <c r="J8" s="6" t="inlineStr"/>
    </row>
    <row r="9" ht="30" customHeight="1">
      <c r="A9" s="5" t="inlineStr"/>
      <c r="B9" s="6" t="inlineStr"/>
      <c r="C9" s="4" t="inlineStr"/>
      <c r="D9" s="4" t="inlineStr"/>
      <c r="E9" s="5" t="inlineStr">
        <is>
          <t>Phase 1A</t>
        </is>
      </c>
      <c r="F9" s="5" t="inlineStr">
        <is>
          <t>1A-16</t>
        </is>
      </c>
      <c r="G9" s="4" t="inlineStr"/>
      <c r="H9" s="5" t="inlineStr"/>
      <c r="I9" s="5">
        <f>IFERROR(INDEX('Phase 1A'!$K$5:$K$76,MATCH("1A-16",'Phase 1A'!$A$5:$A$76,0)),"not found")</f>
        <v/>
      </c>
      <c r="J9" s="6" t="inlineStr"/>
    </row>
    <row r="10" ht="30" customHeight="1">
      <c r="A10" s="5" t="inlineStr"/>
      <c r="B10" s="6" t="inlineStr"/>
      <c r="C10" s="4" t="inlineStr"/>
      <c r="D10" s="4" t="inlineStr"/>
      <c r="E10" s="5" t="inlineStr">
        <is>
          <t>Phase 1A</t>
        </is>
      </c>
      <c r="F10" s="5" t="inlineStr">
        <is>
          <t>1A-17</t>
        </is>
      </c>
      <c r="G10" s="4" t="inlineStr"/>
      <c r="H10" s="5" t="inlineStr"/>
      <c r="I10" s="5">
        <f>IFERROR(INDEX('Phase 1A'!$K$5:$K$76,MATCH("1A-17",'Phase 1A'!$A$5:$A$76,0)),"not found")</f>
        <v/>
      </c>
      <c r="J10" s="6" t="inlineStr"/>
    </row>
    <row r="11" ht="30" customHeight="1">
      <c r="A11" s="5" t="inlineStr"/>
      <c r="B11" s="6" t="inlineStr"/>
      <c r="C11" s="4" t="inlineStr"/>
      <c r="D11" s="4" t="inlineStr"/>
      <c r="E11" s="5" t="inlineStr">
        <is>
          <t>Regression</t>
        </is>
      </c>
      <c r="F11" s="5" t="inlineStr">
        <is>
          <t>REG-02</t>
        </is>
      </c>
      <c r="G11" s="4" t="inlineStr"/>
      <c r="H11" s="5" t="inlineStr"/>
      <c r="I11" s="5">
        <f>IFERROR(INDEX('Regression'!$K$5:$K$10,MATCH("REG-02",'Regression'!$A$5:$A$10,0)),"not found")</f>
        <v/>
      </c>
      <c r="J11" s="6" t="inlineStr"/>
    </row>
    <row r="12" ht="30" customHeight="1">
      <c r="A12" s="8" t="n">
        <v>3</v>
      </c>
      <c r="B12" s="9" t="inlineStr">
        <is>
          <t>Sales supplies the loss reason. Sales does not decide the Lost outcome; the system derives it.</t>
        </is>
      </c>
      <c r="C12" s="7" t="inlineStr">
        <is>
          <t>— (FR-17 covers Won and Archived only)</t>
        </is>
      </c>
      <c r="D12" s="7" t="inlineStr">
        <is>
          <t>AC-DEAL-01</t>
        </is>
      </c>
      <c r="E12" s="8" t="inlineStr">
        <is>
          <t>Phase 1A</t>
        </is>
      </c>
      <c r="F12" s="8" t="inlineStr">
        <is>
          <t>1A-19</t>
        </is>
      </c>
      <c r="G12" s="7" t="inlineStr">
        <is>
          <t>G-22</t>
        </is>
      </c>
      <c r="H12" s="8" t="inlineStr">
        <is>
          <t>Phase 1A</t>
        </is>
      </c>
      <c r="I12" s="8">
        <f>IFERROR(INDEX('Phase 1A'!$K$5:$K$76,MATCH("1A-19",'Phase 1A'!$A$5:$A$76,0)),"not found")</f>
        <v/>
      </c>
      <c r="J12" s="25" t="inlineStr">
        <is>
          <t>GAP: no FR separates deriving the outcome from supplying the reason. §A6 and §A7 both state it; a requirement should too.</t>
        </is>
      </c>
    </row>
    <row r="13" ht="30" customHeight="1">
      <c r="A13" s="8" t="inlineStr"/>
      <c r="B13" s="9" t="inlineStr"/>
      <c r="C13" s="7" t="inlineStr"/>
      <c r="D13" s="7" t="inlineStr"/>
      <c r="E13" s="8" t="inlineStr">
        <is>
          <t>Regression</t>
        </is>
      </c>
      <c r="F13" s="8" t="inlineStr">
        <is>
          <t>REG-03</t>
        </is>
      </c>
      <c r="G13" s="7" t="inlineStr"/>
      <c r="H13" s="8" t="inlineStr"/>
      <c r="I13" s="8">
        <f>IFERROR(INDEX('Regression'!$K$5:$K$10,MATCH("REG-03",'Regression'!$A$5:$A$10,0)),"not found")</f>
        <v/>
      </c>
      <c r="J13" s="9" t="inlineStr"/>
    </row>
    <row r="14" ht="30" customHeight="1">
      <c r="A14" s="5" t="n">
        <v>4</v>
      </c>
      <c r="B14" s="6" t="inlineStr">
        <is>
          <t>Testing is optional. Only a real conflict blocks publishing.</t>
        </is>
      </c>
      <c r="C14" s="4" t="inlineStr">
        <is>
          <t>FR-13</t>
        </is>
      </c>
      <c r="D14" s="4" t="inlineStr">
        <is>
          <t>AC-BLD-10</t>
        </is>
      </c>
      <c r="E14" s="5" t="inlineStr">
        <is>
          <t>Phase 1C</t>
        </is>
      </c>
      <c r="F14" s="5" t="inlineStr">
        <is>
          <t>1C-21</t>
        </is>
      </c>
      <c r="G14" s="4" t="inlineStr">
        <is>
          <t>G-46</t>
        </is>
      </c>
      <c r="H14" s="5" t="inlineStr">
        <is>
          <t>Phase 1C</t>
        </is>
      </c>
      <c r="I14" s="5">
        <f>IFERROR(INDEX('Phase 1C'!$K$5:$K$43,MATCH("1C-21",'Phase 1C'!$A$5:$A$43,0)),"not found")</f>
        <v/>
      </c>
      <c r="J14" s="6" t="inlineStr"/>
    </row>
    <row r="15" ht="30" customHeight="1">
      <c r="A15" s="5" t="inlineStr"/>
      <c r="B15" s="6" t="inlineStr"/>
      <c r="C15" s="4" t="inlineStr"/>
      <c r="D15" s="4" t="inlineStr"/>
      <c r="E15" s="5" t="inlineStr">
        <is>
          <t>Regression</t>
        </is>
      </c>
      <c r="F15" s="5" t="inlineStr">
        <is>
          <t>REG-04</t>
        </is>
      </c>
      <c r="G15" s="4" t="inlineStr"/>
      <c r="H15" s="5" t="inlineStr"/>
      <c r="I15" s="5">
        <f>IFERROR(INDEX('Regression'!$K$5:$K$10,MATCH("REG-04",'Regression'!$A$5:$A$10,0)),"not found")</f>
        <v/>
      </c>
      <c r="J15" s="6" t="inlineStr"/>
    </row>
    <row r="16" ht="30" customHeight="1">
      <c r="A16" s="8" t="n">
        <v>5</v>
      </c>
      <c r="B16" s="9" t="inlineStr">
        <is>
          <t>A Phase 2 custom stage receives the identical core block library wherever it sits.</t>
        </is>
      </c>
      <c r="C16" s="7" t="inlineStr">
        <is>
          <t>FR-06, FR-33</t>
        </is>
      </c>
      <c r="D16" s="7" t="inlineStr">
        <is>
          <t>AC-BLD-05</t>
        </is>
      </c>
      <c r="E16" s="8" t="inlineStr">
        <is>
          <t>Phase 1C</t>
        </is>
      </c>
      <c r="F16" s="8" t="inlineStr">
        <is>
          <t>1C-06</t>
        </is>
      </c>
      <c r="G16" s="7" t="inlineStr">
        <is>
          <t>G-45, G-48</t>
        </is>
      </c>
      <c r="H16" s="8" t="inlineStr">
        <is>
          <t>Phase 2</t>
        </is>
      </c>
      <c r="I16" s="8">
        <f>IFERROR(INDEX('Phase 1C'!$K$5:$K$43,MATCH("1C-06",'Phase 1C'!$A$5:$A$43,0)),"not found")</f>
        <v/>
      </c>
      <c r="J16" s="9" t="inlineStr">
        <is>
          <t>REG-05 cannot run before Phase 2. It is excluded from the Phase 1 gates by its Applies from value.</t>
        </is>
      </c>
    </row>
    <row r="17" ht="30" customHeight="1">
      <c r="A17" s="8" t="inlineStr"/>
      <c r="B17" s="9" t="inlineStr"/>
      <c r="C17" s="7" t="inlineStr"/>
      <c r="D17" s="7" t="inlineStr"/>
      <c r="E17" s="8" t="inlineStr">
        <is>
          <t>Phase 1C</t>
        </is>
      </c>
      <c r="F17" s="8" t="inlineStr">
        <is>
          <t>1C-09</t>
        </is>
      </c>
      <c r="G17" s="7" t="inlineStr"/>
      <c r="H17" s="8" t="inlineStr"/>
      <c r="I17" s="8">
        <f>IFERROR(INDEX('Phase 1C'!$K$5:$K$43,MATCH("1C-09",'Phase 1C'!$A$5:$A$43,0)),"not found")</f>
        <v/>
      </c>
      <c r="J17" s="9" t="inlineStr"/>
    </row>
    <row r="18" ht="30" customHeight="1">
      <c r="A18" s="8" t="inlineStr"/>
      <c r="B18" s="9" t="inlineStr"/>
      <c r="C18" s="7" t="inlineStr"/>
      <c r="D18" s="7" t="inlineStr"/>
      <c r="E18" s="8" t="inlineStr">
        <is>
          <t>Regression</t>
        </is>
      </c>
      <c r="F18" s="8" t="inlineStr">
        <is>
          <t>REG-05</t>
        </is>
      </c>
      <c r="G18" s="7" t="inlineStr"/>
      <c r="H18" s="8" t="inlineStr"/>
      <c r="I18" s="8">
        <f>IFERROR(INDEX('Regression'!$K$5:$K$10,MATCH("REG-05",'Regression'!$A$5:$A$10,0)),"not found")</f>
        <v/>
      </c>
      <c r="J18" s="9" t="inlineStr"/>
    </row>
    <row r="19" ht="30" customHeight="1">
      <c r="A19" s="5" t="n">
        <v>6</v>
      </c>
      <c r="B19" s="6" t="inlineStr">
        <is>
          <t>A protected quote lifecycle event is never an ordinary Automation action.</t>
        </is>
      </c>
      <c r="C19" s="4" t="inlineStr">
        <is>
          <t>FR-08</t>
        </is>
      </c>
      <c r="D19" s="4" t="inlineStr">
        <is>
          <t>AC-BLD-07</t>
        </is>
      </c>
      <c r="E19" s="5" t="inlineStr">
        <is>
          <t>Phase 1C</t>
        </is>
      </c>
      <c r="F19" s="5" t="inlineStr">
        <is>
          <t>1C-08</t>
        </is>
      </c>
      <c r="G19" s="4" t="inlineStr">
        <is>
          <t>G-12</t>
        </is>
      </c>
      <c r="H19" s="5" t="inlineStr">
        <is>
          <t>Phase 1A</t>
        </is>
      </c>
      <c r="I19" s="5">
        <f>IFERROR(INDEX('Phase 1C'!$K$5:$K$43,MATCH("1C-08",'Phase 1C'!$A$5:$A$43,0)),"not found")</f>
        <v/>
      </c>
      <c r="J19" s="6" t="inlineStr"/>
    </row>
    <row r="20" ht="30" customHeight="1">
      <c r="A20" s="5" t="inlineStr"/>
      <c r="B20" s="6" t="inlineStr"/>
      <c r="C20" s="4" t="inlineStr"/>
      <c r="D20" s="4" t="inlineStr"/>
      <c r="E20" s="5" t="inlineStr">
        <is>
          <t>Regression</t>
        </is>
      </c>
      <c r="F20" s="5" t="inlineStr">
        <is>
          <t>REG-06</t>
        </is>
      </c>
      <c r="G20" s="4" t="inlineStr"/>
      <c r="H20" s="5" t="inlineStr"/>
      <c r="I20" s="5">
        <f>IFERROR(INDEX('Regression'!$K$5:$K$10,MATCH("REG-06",'Regression'!$A$5:$A$10,0)),"not found")</f>
        <v/>
      </c>
      <c r="J20" s="6" t="inlineStr"/>
    </row>
    <row r="21" ht="30" customHeight="1">
      <c r="A21" s="8" t="n">
        <v>7</v>
      </c>
      <c r="B21" s="9" t="inlineStr">
        <is>
          <t>A quote and its deal share an owning company. Crossing that boundary needs a permission the user holds and a confirmation they see.</t>
        </is>
      </c>
      <c r="C21" s="7" t="inlineStr">
        <is>
          <t>FR-51</t>
        </is>
      </c>
      <c r="D21" s="7" t="inlineStr">
        <is>
          <t>AC-QS-10</t>
        </is>
      </c>
      <c r="E21" s="8" t="inlineStr">
        <is>
          <t>Phase 1A</t>
        </is>
      </c>
      <c r="F21" s="8" t="inlineStr">
        <is>
          <t>1A-63</t>
        </is>
      </c>
      <c r="G21" s="7" t="inlineStr">
        <is>
          <t>G-14, G-21</t>
        </is>
      </c>
      <c r="H21" s="8" t="inlineStr">
        <is>
          <t>Phase 1A</t>
        </is>
      </c>
      <c r="I21" s="8">
        <f>IFERROR(INDEX('Phase 1A'!$K$5:$K$76,MATCH("1A-63",'Phase 1A'!$A$5:$A$76,0)),"not found")</f>
        <v/>
      </c>
      <c r="J21" s="9" t="inlineStr"/>
    </row>
    <row r="22" ht="30" customHeight="1">
      <c r="A22" s="5" t="n">
        <v>8</v>
      </c>
      <c r="B22" s="6" t="inlineStr">
        <is>
          <t>Every route into a quote reaches the same dedicated workspace. No route falls back to the old quote summary.</t>
        </is>
      </c>
      <c r="C22" s="4" t="inlineStr">
        <is>
          <t>FR-42, FR-43</t>
        </is>
      </c>
      <c r="D22" s="4" t="inlineStr">
        <is>
          <t>AC-QS-01, AC-QS-02</t>
        </is>
      </c>
      <c r="E22" s="5" t="inlineStr">
        <is>
          <t>Phase 1A</t>
        </is>
      </c>
      <c r="F22" s="5" t="inlineStr">
        <is>
          <t>1A-58</t>
        </is>
      </c>
      <c r="G22" s="4" t="inlineStr">
        <is>
          <t>G-17, G-26</t>
        </is>
      </c>
      <c r="H22" s="5" t="inlineStr">
        <is>
          <t>Phase 1A</t>
        </is>
      </c>
      <c r="I22" s="5">
        <f>IFERROR(INDEX('Phase 1A'!$K$5:$K$76,MATCH("1A-58",'Phase 1A'!$A$5:$A$76,0)),"not found")</f>
        <v/>
      </c>
      <c r="J22" s="6" t="inlineStr"/>
    </row>
    <row r="23" ht="30" customHeight="1">
      <c r="A23" s="5" t="inlineStr"/>
      <c r="B23" s="6" t="inlineStr"/>
      <c r="C23" s="4" t="inlineStr"/>
      <c r="D23" s="4" t="inlineStr"/>
      <c r="E23" s="5" t="inlineStr">
        <is>
          <t>Phase 1A</t>
        </is>
      </c>
      <c r="F23" s="5" t="inlineStr">
        <is>
          <t>1A-60</t>
        </is>
      </c>
      <c r="G23" s="4" t="inlineStr"/>
      <c r="H23" s="5" t="inlineStr"/>
      <c r="I23" s="5">
        <f>IFERROR(INDEX('Phase 1A'!$K$5:$K$76,MATCH("1A-60",'Phase 1A'!$A$5:$A$76,0)),"not found")</f>
        <v/>
      </c>
      <c r="J23" s="6" t="inlineStr"/>
    </row>
    <row r="24" ht="30" customHeight="1">
      <c r="A24" s="8" t="n">
        <v>9</v>
      </c>
      <c r="B24" s="9" t="inlineStr">
        <is>
          <t>Link, add option, switch and unlink never change the owning company, the customer or an accepted outcome, and each writes an audit event.</t>
        </is>
      </c>
      <c r="C24" s="7" t="inlineStr">
        <is>
          <t>FR-50, FR-52, FR-53, FR-55</t>
        </is>
      </c>
      <c r="D24" s="7" t="inlineStr">
        <is>
          <t>AC-QS-08, AC-QS-12, AC-QS-13</t>
        </is>
      </c>
      <c r="E24" s="8" t="inlineStr">
        <is>
          <t>Phase 1A</t>
        </is>
      </c>
      <c r="F24" s="8" t="inlineStr">
        <is>
          <t>1A-61</t>
        </is>
      </c>
      <c r="G24" s="7" t="inlineStr">
        <is>
          <t>G-20</t>
        </is>
      </c>
      <c r="H24" s="8" t="inlineStr">
        <is>
          <t>Phase 1A</t>
        </is>
      </c>
      <c r="I24" s="8">
        <f>IFERROR(INDEX('Phase 1A'!$K$5:$K$76,MATCH("1A-61",'Phase 1A'!$A$5:$A$76,0)),"not found")</f>
        <v/>
      </c>
      <c r="J24" s="9" t="inlineStr"/>
    </row>
    <row r="25" ht="30" customHeight="1">
      <c r="A25" s="8" t="inlineStr"/>
      <c r="B25" s="9" t="inlineStr"/>
      <c r="C25" s="7" t="inlineStr"/>
      <c r="D25" s="7" t="inlineStr"/>
      <c r="E25" s="8" t="inlineStr">
        <is>
          <t>Phase 1A</t>
        </is>
      </c>
      <c r="F25" s="8" t="inlineStr">
        <is>
          <t>1A-66</t>
        </is>
      </c>
      <c r="G25" s="7" t="inlineStr"/>
      <c r="H25" s="8" t="inlineStr"/>
      <c r="I25" s="8">
        <f>IFERROR(INDEX('Phase 1A'!$K$5:$K$76,MATCH("1A-66",'Phase 1A'!$A$5:$A$76,0)),"not found")</f>
        <v/>
      </c>
      <c r="J25" s="9" t="inlineStr"/>
    </row>
    <row r="26" ht="30" customHeight="1">
      <c r="A26" s="8" t="inlineStr"/>
      <c r="B26" s="9" t="inlineStr"/>
      <c r="C26" s="7" t="inlineStr"/>
      <c r="D26" s="7" t="inlineStr"/>
      <c r="E26" s="8" t="inlineStr">
        <is>
          <t>Phase 1A</t>
        </is>
      </c>
      <c r="F26" s="8" t="inlineStr">
        <is>
          <t>1A-67</t>
        </is>
      </c>
      <c r="G26" s="7" t="inlineStr"/>
      <c r="H26" s="8" t="inlineStr"/>
      <c r="I26" s="8">
        <f>IFERROR(INDEX('Phase 1A'!$K$5:$K$76,MATCH("1A-67",'Phase 1A'!$A$5:$A$76,0)),"not found")</f>
        <v/>
      </c>
      <c r="J26" s="9" t="inlineStr"/>
    </row>
    <row r="27" ht="30" customHeight="1">
      <c r="A27" s="8" t="inlineStr"/>
      <c r="B27" s="9" t="inlineStr"/>
      <c r="C27" s="7" t="inlineStr"/>
      <c r="D27" s="7" t="inlineStr"/>
      <c r="E27" s="8" t="inlineStr">
        <is>
          <t>Phase 1A</t>
        </is>
      </c>
      <c r="F27" s="8" t="inlineStr">
        <is>
          <t>1A-68</t>
        </is>
      </c>
      <c r="G27" s="7" t="inlineStr"/>
      <c r="H27" s="8" t="inlineStr"/>
      <c r="I27" s="8">
        <f>IFERROR(INDEX('Phase 1A'!$K$5:$K$76,MATCH("1A-68",'Phase 1A'!$A$5:$A$76,0)),"not found")</f>
        <v/>
      </c>
      <c r="J27" s="9" t="inlineStr"/>
    </row>
    <row r="29">
      <c r="A29" s="17" t="inlineStr">
        <is>
          <t>Linked cases passing</t>
        </is>
      </c>
      <c r="C29" s="17">
        <f>COUNTIF(I5:I27,"Pass")&amp;" of "&amp;COUNTA(I5:I27)</f>
        <v/>
      </c>
    </row>
    <row r="30">
      <c r="A30" s="17" t="inlineStr">
        <is>
          <t>Requirement gaps</t>
        </is>
      </c>
      <c r="C30" s="26">
        <f>COUNTIF(J5:J27,"GAP*")&amp;" locked rules have no functional requirement"</f>
        <v/>
      </c>
    </row>
    <row r="32">
      <c r="B32" s="27" t="inlineStr">
        <is>
          <t>A locked rule is only safe once every linked QA case passes AND its delivery gate item is Done. The two gaps are documentation gaps, not test gaps — both rules are tested.</t>
        </is>
      </c>
    </row>
  </sheetData>
  <autoFilter ref="A4:J27"/>
  <conditionalFormatting sqref="I5:I27">
    <cfRule type="cellIs" priority="1" operator="equal" dxfId="0">
      <formula>"Pass"</formula>
    </cfRule>
    <cfRule type="cellIs" priority="2" operator="equal" dxfId="5">
      <formula>"Fail"</formula>
    </cfRule>
    <cfRule type="cellIs" priority="3" operator="equal" dxfId="7">
      <formula>"Blocked"</formula>
    </cfRule>
    <cfRule type="cellIs" priority="4" operator="equal" dxfId="3">
      <formula>"N/A"</formula>
    </cfRule>
    <cfRule type="cellIs" priority="5" operator="equal" dxfId="4">
      <formula>"Not run"</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2" customWidth="1" min="3" max="3"/>
    <col width="26" customWidth="1" min="4" max="4"/>
    <col width="7" customWidth="1" min="5" max="5"/>
    <col width="12" customWidth="1" min="6" max="6"/>
    <col width="30" customWidth="1" min="7" max="7"/>
    <col width="52" customWidth="1" min="8" max="8"/>
    <col width="46"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4" customWidth="1" min="22" max="22"/>
    <col width="10" customWidth="1" min="23" max="23"/>
    <col width="11" customWidth="1" min="24" max="24"/>
    <col width="22" customWidth="1" min="25" max="25"/>
  </cols>
  <sheetData>
    <row r="1">
      <c r="A1" s="1" t="inlineStr">
        <is>
          <t>End-to-end journeys</t>
        </is>
      </c>
    </row>
    <row r="2">
      <c r="A2" s="2" t="inlineStr">
        <is>
          <t>Each journey is a test in its own right: run it start to finish and record the result in Status. The three columns on the right are a separate signal — they read the granular cases behind the journey. Those cases passing does NOT mean the journey was ever run end to end.</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c r="W4" s="3" t="inlineStr">
        <is>
          <t>Component cases</t>
        </is>
      </c>
      <c r="X4" s="3" t="inlineStr">
        <is>
          <t>Component passing</t>
        </is>
      </c>
      <c r="Y4" s="3" t="inlineStr">
        <is>
          <t>Component coverage</t>
        </is>
      </c>
    </row>
    <row r="5" ht="42" customHeight="1">
      <c r="A5" s="4" t="inlineStr">
        <is>
          <t>UC-01</t>
        </is>
      </c>
      <c r="B5" s="5" t="inlineStr">
        <is>
          <t>Phase 1A</t>
        </is>
      </c>
      <c r="C5" s="5" t="inlineStr">
        <is>
          <t>Phase 1A</t>
        </is>
      </c>
      <c r="D5" s="4" t="inlineStr">
        <is>
          <t>Lead to first quote</t>
        </is>
      </c>
      <c r="E5" s="5" t="inlineStr">
        <is>
          <t>P1</t>
        </is>
      </c>
      <c r="F5" s="5" t="inlineStr">
        <is>
          <t>Manual</t>
        </is>
      </c>
      <c r="G5" s="6" t="inlineStr">
        <is>
          <t>Run by Sales, on staging with the Phase 1 test data in place.</t>
        </is>
      </c>
      <c r="H5" s="6" t="inlineStr">
        <is>
          <t>New Lead → duplicate check → customer linked → convert → Deal in Qualified → create first quote → In Progress</t>
        </is>
      </c>
      <c r="I5" s="6" t="inlineStr">
        <is>
          <t>One Deal exists in Qualified with the matched customer linked, and it moves to In Progress the moment the first quote is created. No second customer record was made.</t>
        </is>
      </c>
      <c r="J5" s="6" t="inlineStr">
        <is>
          <t>1A-01, 1A-02, 1A-08</t>
        </is>
      </c>
      <c r="K5" s="5" t="inlineStr">
        <is>
          <t>Not run</t>
        </is>
      </c>
      <c r="L5" s="6" t="inlineStr"/>
      <c r="M5" s="5" t="inlineStr"/>
      <c r="N5" s="4" t="inlineStr"/>
      <c r="O5" s="4" t="inlineStr"/>
      <c r="P5" s="4" t="inlineStr"/>
      <c r="Q5" s="6" t="inlineStr"/>
      <c r="R5" s="4" t="inlineStr"/>
      <c r="S5" s="4" t="inlineStr"/>
      <c r="T5" s="4" t="inlineStr"/>
      <c r="U5" s="5" t="inlineStr"/>
      <c r="V5" s="6" t="inlineStr"/>
      <c r="W5" s="5" t="n">
        <v>3</v>
      </c>
      <c r="X5" s="5">
        <f>COUNTIFS('Phase 1A'!$A$5:$A$76,"1A-01",'Phase 1A'!$K$5:$K$76,"Pass")+COUNTIFS('Phase 1A'!$A$5:$A$76,"1A-02",'Phase 1A'!$K$5:$K$76,"Pass")+COUNTIFS('Phase 1A'!$A$5:$A$76,"1A-08",'Phase 1A'!$K$5:$K$76,"Pass")</f>
        <v/>
      </c>
      <c r="Y5" s="6">
        <f>IF(X5=W5,"All parts pass",IF(X5=0,"No parts pass yet","Partial — "&amp;X5&amp;" of "&amp;W5))</f>
        <v/>
      </c>
    </row>
    <row r="6" ht="42" customHeight="1">
      <c r="A6" s="7" t="inlineStr">
        <is>
          <t>UC-02</t>
        </is>
      </c>
      <c r="B6" s="8" t="inlineStr">
        <is>
          <t>Phase 1A</t>
        </is>
      </c>
      <c r="C6" s="8" t="inlineStr">
        <is>
          <t>Phase 1A</t>
        </is>
      </c>
      <c r="D6" s="7" t="inlineStr">
        <is>
          <t>Full review path</t>
        </is>
      </c>
      <c r="E6" s="8" t="inlineStr">
        <is>
          <t>P1</t>
        </is>
      </c>
      <c r="F6" s="8" t="inlineStr">
        <is>
          <t>Manual</t>
        </is>
      </c>
      <c r="G6" s="9" t="inlineStr">
        <is>
          <t>Run by Sales + Reviewer, on staging with the Phase 1 test data in place.</t>
        </is>
      </c>
      <c r="H6" s="9" t="inlineStr">
        <is>
          <t>In Progress → submit → In Review → pass → Passed Review → send → Sent</t>
        </is>
      </c>
      <c r="I6" s="9" t="inlineStr">
        <is>
          <t>The Deal reaches Sent by way of In Review and Passed Review, and the history names who submitted it, who passed it and who sent it.</t>
        </is>
      </c>
      <c r="J6" s="9" t="inlineStr">
        <is>
          <t>1A-09, 1A-10, 1A-11</t>
        </is>
      </c>
      <c r="K6" s="8" t="inlineStr">
        <is>
          <t>Not run</t>
        </is>
      </c>
      <c r="L6" s="9" t="inlineStr"/>
      <c r="M6" s="8" t="inlineStr"/>
      <c r="N6" s="7" t="inlineStr"/>
      <c r="O6" s="7" t="inlineStr"/>
      <c r="P6" s="7" t="inlineStr"/>
      <c r="Q6" s="9" t="inlineStr"/>
      <c r="R6" s="7" t="inlineStr"/>
      <c r="S6" s="7" t="inlineStr"/>
      <c r="T6" s="7" t="inlineStr"/>
      <c r="U6" s="8" t="inlineStr"/>
      <c r="V6" s="9" t="inlineStr"/>
      <c r="W6" s="8" t="n">
        <v>3</v>
      </c>
      <c r="X6" s="8">
        <f>COUNTIFS('Phase 1A'!$A$5:$A$76,"1A-09",'Phase 1A'!$K$5:$K$76,"Pass")+COUNTIFS('Phase 1A'!$A$5:$A$76,"1A-10",'Phase 1A'!$K$5:$K$76,"Pass")+COUNTIFS('Phase 1A'!$A$5:$A$76,"1A-11",'Phase 1A'!$K$5:$K$76,"Pass")</f>
        <v/>
      </c>
      <c r="Y6" s="9">
        <f>IF(X6=W6,"All parts pass",IF(X6=0,"No parts pass yet","Partial — "&amp;X6&amp;" of "&amp;W6))</f>
        <v/>
      </c>
    </row>
    <row r="7" ht="42" customHeight="1">
      <c r="A7" s="4" t="inlineStr">
        <is>
          <t>UC-03</t>
        </is>
      </c>
      <c r="B7" s="5" t="inlineStr">
        <is>
          <t>Phase 1A</t>
        </is>
      </c>
      <c r="C7" s="5" t="inlineStr">
        <is>
          <t>Phase 1A</t>
        </is>
      </c>
      <c r="D7" s="4" t="inlineStr">
        <is>
          <t>No-review path</t>
        </is>
      </c>
      <c r="E7" s="5" t="inlineStr">
        <is>
          <t>P1</t>
        </is>
      </c>
      <c r="F7" s="5" t="inlineStr">
        <is>
          <t>Manual</t>
        </is>
      </c>
      <c r="G7" s="6" t="inlineStr">
        <is>
          <t>Run by Sales, on staging with the Phase 1 test data in place.</t>
        </is>
      </c>
      <c r="H7" s="6" t="inlineStr">
        <is>
          <t>Review disabled → In Progress → send → Sent, skipping both review stages</t>
        </is>
      </c>
      <c r="I7" s="6" t="inlineStr">
        <is>
          <t>The Deal moves straight from In Progress to Sent. Neither review stage appears on the board or in the history.</t>
        </is>
      </c>
      <c r="J7" s="6" t="inlineStr">
        <is>
          <t>1A-12</t>
        </is>
      </c>
      <c r="K7" s="5" t="inlineStr">
        <is>
          <t>Not run</t>
        </is>
      </c>
      <c r="L7" s="6" t="inlineStr"/>
      <c r="M7" s="5" t="inlineStr"/>
      <c r="N7" s="4" t="inlineStr"/>
      <c r="O7" s="4" t="inlineStr"/>
      <c r="P7" s="4" t="inlineStr"/>
      <c r="Q7" s="6" t="inlineStr"/>
      <c r="R7" s="4" t="inlineStr"/>
      <c r="S7" s="4" t="inlineStr"/>
      <c r="T7" s="4" t="inlineStr"/>
      <c r="U7" s="5" t="inlineStr"/>
      <c r="V7" s="6" t="inlineStr"/>
      <c r="W7" s="5" t="n">
        <v>1</v>
      </c>
      <c r="X7" s="5">
        <f>COUNTIFS('Phase 1A'!$A$5:$A$76,"1A-12",'Phase 1A'!$K$5:$K$76,"Pass")</f>
        <v/>
      </c>
      <c r="Y7" s="6">
        <f>IF(X7=W7,"All parts pass",IF(X7=0,"No parts pass yet","Partial — "&amp;X7&amp;" of "&amp;W7))</f>
        <v/>
      </c>
    </row>
    <row r="8" ht="42" customHeight="1">
      <c r="A8" s="7" t="inlineStr">
        <is>
          <t>UC-04</t>
        </is>
      </c>
      <c r="B8" s="8" t="inlineStr">
        <is>
          <t>Phase 1A</t>
        </is>
      </c>
      <c r="C8" s="8" t="inlineStr">
        <is>
          <t>Phase 1A</t>
        </is>
      </c>
      <c r="D8" s="7" t="inlineStr">
        <is>
          <t>Changes requested</t>
        </is>
      </c>
      <c r="E8" s="8" t="inlineStr">
        <is>
          <t>P1</t>
        </is>
      </c>
      <c r="F8" s="8" t="inlineStr">
        <is>
          <t>Manual</t>
        </is>
      </c>
      <c r="G8" s="9" t="inlineStr">
        <is>
          <t>Run by Reviewer, on staging with the Phase 1 test data in place.</t>
        </is>
      </c>
      <c r="H8" s="9" t="inlineStr">
        <is>
          <t>In Review → changes requested → back to In Progress → resubmit</t>
        </is>
      </c>
      <c r="I8" s="9" t="inlineStr">
        <is>
          <t>The Deal returns to In Progress carrying the reviewer's comments, and resubmitting takes it back to In Review.</t>
        </is>
      </c>
      <c r="J8" s="9" t="inlineStr">
        <is>
          <t>1A-13, 1A-09</t>
        </is>
      </c>
      <c r="K8" s="8" t="inlineStr">
        <is>
          <t>Not run</t>
        </is>
      </c>
      <c r="L8" s="9" t="inlineStr"/>
      <c r="M8" s="8" t="inlineStr"/>
      <c r="N8" s="7" t="inlineStr"/>
      <c r="O8" s="7" t="inlineStr"/>
      <c r="P8" s="7" t="inlineStr"/>
      <c r="Q8" s="9" t="inlineStr"/>
      <c r="R8" s="7" t="inlineStr"/>
      <c r="S8" s="7" t="inlineStr"/>
      <c r="T8" s="7" t="inlineStr"/>
      <c r="U8" s="8" t="inlineStr"/>
      <c r="V8" s="9" t="inlineStr"/>
      <c r="W8" s="8" t="n">
        <v>2</v>
      </c>
      <c r="X8" s="8">
        <f>COUNTIFS('Phase 1A'!$A$5:$A$76,"1A-13",'Phase 1A'!$K$5:$K$76,"Pass")+COUNTIFS('Phase 1A'!$A$5:$A$76,"1A-09",'Phase 1A'!$K$5:$K$76,"Pass")</f>
        <v/>
      </c>
      <c r="Y8" s="9">
        <f>IF(X8=W8,"All parts pass",IF(X8=0,"No parts pass yet","Partial — "&amp;X8&amp;" of "&amp;W8))</f>
        <v/>
      </c>
    </row>
    <row r="9" ht="42" customHeight="1">
      <c r="A9" s="4" t="inlineStr">
        <is>
          <t>UC-05</t>
        </is>
      </c>
      <c r="B9" s="5" t="inlineStr">
        <is>
          <t>Phase 1A</t>
        </is>
      </c>
      <c r="C9" s="5" t="inlineStr">
        <is>
          <t>Phase 1A</t>
        </is>
      </c>
      <c r="D9" s="4" t="inlineStr">
        <is>
          <t>Client engagement</t>
        </is>
      </c>
      <c r="E9" s="5" t="inlineStr">
        <is>
          <t>P1</t>
        </is>
      </c>
      <c r="F9" s="5" t="inlineStr">
        <is>
          <t>Manual</t>
        </is>
      </c>
      <c r="G9" s="6" t="inlineStr">
        <is>
          <t>Run by Sales, on staging with the Phase 1 test data in place.</t>
        </is>
      </c>
      <c r="H9" s="6" t="inlineStr">
        <is>
          <t>Three quotes sent → client opens two → Deal card shows 2 of 3 viewed</t>
        </is>
      </c>
      <c r="I9" s="6" t="inlineStr">
        <is>
          <t>The Deal card reads 2 of 3 viewed. The unopened quote counts in the denominator and not as viewed.</t>
        </is>
      </c>
      <c r="J9" s="6" t="inlineStr">
        <is>
          <t>1A-31, 1A-30, 1A-32</t>
        </is>
      </c>
      <c r="K9" s="5" t="inlineStr">
        <is>
          <t>Not run</t>
        </is>
      </c>
      <c r="L9" s="6" t="inlineStr"/>
      <c r="M9" s="5" t="inlineStr"/>
      <c r="N9" s="4" t="inlineStr"/>
      <c r="O9" s="4" t="inlineStr"/>
      <c r="P9" s="4" t="inlineStr"/>
      <c r="Q9" s="6" t="inlineStr"/>
      <c r="R9" s="4" t="inlineStr"/>
      <c r="S9" s="4" t="inlineStr"/>
      <c r="T9" s="4" t="inlineStr"/>
      <c r="U9" s="5" t="inlineStr"/>
      <c r="V9" s="6" t="inlineStr"/>
      <c r="W9" s="5" t="n">
        <v>3</v>
      </c>
      <c r="X9" s="5">
        <f>COUNTIFS('Phase 1A'!$A$5:$A$76,"1A-31",'Phase 1A'!$K$5:$K$76,"Pass")+COUNTIFS('Phase 1A'!$A$5:$A$76,"1A-30",'Phase 1A'!$K$5:$K$76,"Pass")+COUNTIFS('Phase 1A'!$A$5:$A$76,"1A-32",'Phase 1A'!$K$5:$K$76,"Pass")</f>
        <v/>
      </c>
      <c r="Y9" s="6">
        <f>IF(X9=W9,"All parts pass",IF(X9=0,"No parts pass yet","Partial — "&amp;X9&amp;" of "&amp;W9))</f>
        <v/>
      </c>
    </row>
    <row r="10" ht="42" customHeight="1">
      <c r="A10" s="7" t="inlineStr">
        <is>
          <t>UC-06</t>
        </is>
      </c>
      <c r="B10" s="8" t="inlineStr">
        <is>
          <t>Phase 1A</t>
        </is>
      </c>
      <c r="C10" s="8" t="inlineStr">
        <is>
          <t>Phase 1A</t>
        </is>
      </c>
      <c r="D10" s="7" t="inlineStr">
        <is>
          <t>Win the deal</t>
        </is>
      </c>
      <c r="E10" s="8" t="inlineStr">
        <is>
          <t>P1</t>
        </is>
      </c>
      <c r="F10" s="8" t="inlineStr">
        <is>
          <t>Manual</t>
        </is>
      </c>
      <c r="G10" s="9" t="inlineStr">
        <is>
          <t>Run by Sales, on staging with the Phase 1 test data in place.</t>
        </is>
      </c>
      <c r="H10" s="9" t="inlineStr">
        <is>
          <t>Alternative group of three → accept one → siblings rejected → Deal Won → value locked</t>
        </is>
      </c>
      <c r="I10" s="9" t="inlineStr">
        <is>
          <t>Accepting one quote makes the Deal Won, marks its two siblings rejected, and sets the signed value to the accepted quote alone.</t>
        </is>
      </c>
      <c r="J10" s="9" t="inlineStr">
        <is>
          <t>1A-16, 1A-14, 1A-45</t>
        </is>
      </c>
      <c r="K10" s="8" t="inlineStr">
        <is>
          <t>Not run</t>
        </is>
      </c>
      <c r="L10" s="9" t="inlineStr"/>
      <c r="M10" s="8" t="inlineStr"/>
      <c r="N10" s="7" t="inlineStr"/>
      <c r="O10" s="7" t="inlineStr"/>
      <c r="P10" s="7" t="inlineStr"/>
      <c r="Q10" s="9" t="inlineStr"/>
      <c r="R10" s="7" t="inlineStr"/>
      <c r="S10" s="7" t="inlineStr"/>
      <c r="T10" s="7" t="inlineStr"/>
      <c r="U10" s="8" t="inlineStr"/>
      <c r="V10" s="9" t="inlineStr"/>
      <c r="W10" s="8" t="n">
        <v>3</v>
      </c>
      <c r="X10" s="8">
        <f>COUNTIFS('Phase 1A'!$A$5:$A$76,"1A-16",'Phase 1A'!$K$5:$K$76,"Pass")+COUNTIFS('Phase 1A'!$A$5:$A$76,"1A-14",'Phase 1A'!$K$5:$K$76,"Pass")+COUNTIFS('Phase 1A'!$A$5:$A$76,"1A-45",'Phase 1A'!$K$5:$K$76,"Pass")</f>
        <v/>
      </c>
      <c r="Y10" s="9">
        <f>IF(X10=W10,"All parts pass",IF(X10=0,"No parts pass yet","Partial — "&amp;X10&amp;" of "&amp;W10))</f>
        <v/>
      </c>
    </row>
    <row r="11" ht="42" customHeight="1">
      <c r="A11" s="4" t="inlineStr">
        <is>
          <t>UC-07</t>
        </is>
      </c>
      <c r="B11" s="5" t="inlineStr">
        <is>
          <t>Phase 1A</t>
        </is>
      </c>
      <c r="C11" s="5" t="inlineStr">
        <is>
          <t>Phase 1A</t>
        </is>
      </c>
      <c r="D11" s="4" t="inlineStr">
        <is>
          <t>Lose the deal</t>
        </is>
      </c>
      <c r="E11" s="5" t="inlineStr">
        <is>
          <t>P1</t>
        </is>
      </c>
      <c r="F11" s="5" t="inlineStr">
        <is>
          <t>Manual</t>
        </is>
      </c>
      <c r="G11" s="6" t="inlineStr">
        <is>
          <t>Run by Sales, on staging with the Phase 1 test data in place.</t>
        </is>
      </c>
      <c r="H11" s="6" t="inlineStr">
        <is>
          <t>All quotes expire → Lost derived → Sales supplies the loss reason</t>
        </is>
      </c>
      <c r="I11" s="6" t="inlineStr">
        <is>
          <t>The Deal shows Lost without anyone setting it, and the reason Sales entered is stored against it.</t>
        </is>
      </c>
      <c r="J11" s="6" t="inlineStr">
        <is>
          <t>1A-19</t>
        </is>
      </c>
      <c r="K11" s="5" t="inlineStr">
        <is>
          <t>Not run</t>
        </is>
      </c>
      <c r="L11" s="6" t="inlineStr"/>
      <c r="M11" s="5" t="inlineStr"/>
      <c r="N11" s="4" t="inlineStr"/>
      <c r="O11" s="4" t="inlineStr"/>
      <c r="P11" s="4" t="inlineStr"/>
      <c r="Q11" s="6" t="inlineStr"/>
      <c r="R11" s="4" t="inlineStr"/>
      <c r="S11" s="4" t="inlineStr"/>
      <c r="T11" s="4" t="inlineStr"/>
      <c r="U11" s="5" t="inlineStr"/>
      <c r="V11" s="6" t="inlineStr"/>
      <c r="W11" s="5" t="n">
        <v>1</v>
      </c>
      <c r="X11" s="5">
        <f>COUNTIFS('Phase 1A'!$A$5:$A$76,"1A-19",'Phase 1A'!$K$5:$K$76,"Pass")</f>
        <v/>
      </c>
      <c r="Y11" s="6">
        <f>IF(X11=W11,"All parts pass",IF(X11=0,"No parts pass yet","Partial — "&amp;X11&amp;" of "&amp;W11))</f>
        <v/>
      </c>
    </row>
    <row r="12" ht="42" customHeight="1">
      <c r="A12" s="7" t="inlineStr">
        <is>
          <t>UC-08</t>
        </is>
      </c>
      <c r="B12" s="8" t="inlineStr">
        <is>
          <t>Phase 1A</t>
        </is>
      </c>
      <c r="C12" s="8" t="inlineStr">
        <is>
          <t>Phase 1A</t>
        </is>
      </c>
      <c r="D12" s="7" t="inlineStr">
        <is>
          <t>Work called off</t>
        </is>
      </c>
      <c r="E12" s="8" t="inlineStr">
        <is>
          <t>P1</t>
        </is>
      </c>
      <c r="F12" s="8" t="inlineStr">
        <is>
          <t>Manual</t>
        </is>
      </c>
      <c r="G12" s="9" t="inlineStr">
        <is>
          <t>Run by Sales, on staging with the Phase 1 test data in place.</t>
        </is>
      </c>
      <c r="H12" s="9" t="inlineStr">
        <is>
          <t>All quotes cancelled → Deal Archived, not Lost</t>
        </is>
      </c>
      <c r="I12" s="9" t="inlineStr">
        <is>
          <t>The Deal shows Archived. It is not Lost and is not counted as a loss anywhere.</t>
        </is>
      </c>
      <c r="J12" s="9" t="inlineStr">
        <is>
          <t>1A-18</t>
        </is>
      </c>
      <c r="K12" s="8" t="inlineStr">
        <is>
          <t>Not run</t>
        </is>
      </c>
      <c r="L12" s="9" t="inlineStr"/>
      <c r="M12" s="8" t="inlineStr"/>
      <c r="N12" s="7" t="inlineStr"/>
      <c r="O12" s="7" t="inlineStr"/>
      <c r="P12" s="7" t="inlineStr"/>
      <c r="Q12" s="9" t="inlineStr"/>
      <c r="R12" s="7" t="inlineStr"/>
      <c r="S12" s="7" t="inlineStr"/>
      <c r="T12" s="7" t="inlineStr"/>
      <c r="U12" s="8" t="inlineStr"/>
      <c r="V12" s="9" t="inlineStr"/>
      <c r="W12" s="8" t="n">
        <v>1</v>
      </c>
      <c r="X12" s="8">
        <f>COUNTIFS('Phase 1A'!$A$5:$A$76,"1A-18",'Phase 1A'!$K$5:$K$76,"Pass")</f>
        <v/>
      </c>
      <c r="Y12" s="9">
        <f>IF(X12=W12,"All parts pass",IF(X12=0,"No parts pass yet","Partial — "&amp;X12&amp;" of "&amp;W12))</f>
        <v/>
      </c>
    </row>
    <row r="13" ht="42" customHeight="1">
      <c r="A13" s="4" t="inlineStr">
        <is>
          <t>UC-09</t>
        </is>
      </c>
      <c r="B13" s="5" t="inlineStr">
        <is>
          <t>Phase 1A</t>
        </is>
      </c>
      <c r="C13" s="5" t="inlineStr">
        <is>
          <t>Phase 1A</t>
        </is>
      </c>
      <c r="D13" s="4" t="inlineStr">
        <is>
          <t>Additive versus competing</t>
        </is>
      </c>
      <c r="E13" s="5" t="inlineStr">
        <is>
          <t>P1</t>
        </is>
      </c>
      <c r="F13" s="5" t="inlineStr">
        <is>
          <t>Manual</t>
        </is>
      </c>
      <c r="G13" s="6" t="inlineStr">
        <is>
          <t>Run by Sales, on staging with the Phase 1 test data in place.</t>
        </is>
      </c>
      <c r="H13" s="6" t="inlineStr">
        <is>
          <t>Two independent quotes add up; two grouped quotes compete</t>
        </is>
      </c>
      <c r="I13" s="6" t="inlineStr">
        <is>
          <t>The two independent quotes both add into the Deal value; of the two grouped quotes only the winner counts.</t>
        </is>
      </c>
      <c r="J13" s="6" t="inlineStr">
        <is>
          <t>1A-34, 1A-35, 1A-37</t>
        </is>
      </c>
      <c r="K13" s="5" t="inlineStr">
        <is>
          <t>Not run</t>
        </is>
      </c>
      <c r="L13" s="6" t="inlineStr"/>
      <c r="M13" s="5" t="inlineStr"/>
      <c r="N13" s="4" t="inlineStr"/>
      <c r="O13" s="4" t="inlineStr"/>
      <c r="P13" s="4" t="inlineStr"/>
      <c r="Q13" s="6" t="inlineStr"/>
      <c r="R13" s="4" t="inlineStr"/>
      <c r="S13" s="4" t="inlineStr"/>
      <c r="T13" s="4" t="inlineStr"/>
      <c r="U13" s="5" t="inlineStr"/>
      <c r="V13" s="6" t="inlineStr"/>
      <c r="W13" s="5" t="n">
        <v>3</v>
      </c>
      <c r="X13" s="5">
        <f>COUNTIFS('Phase 1A'!$A$5:$A$76,"1A-34",'Phase 1A'!$K$5:$K$76,"Pass")+COUNTIFS('Phase 1A'!$A$5:$A$76,"1A-35",'Phase 1A'!$K$5:$K$76,"Pass")+COUNTIFS('Phase 1A'!$A$5:$A$76,"1A-37",'Phase 1A'!$K$5:$K$76,"Pass")</f>
        <v/>
      </c>
      <c r="Y13" s="6">
        <f>IF(X13=W13,"All parts pass",IF(X13=0,"No parts pass yet","Partial — "&amp;X13&amp;" of "&amp;W13))</f>
        <v/>
      </c>
    </row>
    <row r="14" ht="42" customHeight="1">
      <c r="A14" s="7" t="inlineStr">
        <is>
          <t>UC-10</t>
        </is>
      </c>
      <c r="B14" s="8" t="inlineStr">
        <is>
          <t>Phase 1A</t>
        </is>
      </c>
      <c r="C14" s="8" t="inlineStr">
        <is>
          <t>Phase 1A</t>
        </is>
      </c>
      <c r="D14" s="7" t="inlineStr">
        <is>
          <t>Vary sold work</t>
        </is>
      </c>
      <c r="E14" s="8" t="inlineStr">
        <is>
          <t>P1</t>
        </is>
      </c>
      <c r="F14" s="8" t="inlineStr">
        <is>
          <t>Manual</t>
        </is>
      </c>
      <c r="G14" s="9" t="inlineStr">
        <is>
          <t>Run by Sales + Finance, on staging with the Phase 1 test data in place.</t>
        </is>
      </c>
      <c r="H14" s="9" t="inlineStr">
        <is>
          <t>Accepted quote → raise change order → client signs → value updated, stage unchanged</t>
        </is>
      </c>
      <c r="I14" s="9" t="inlineStr">
        <is>
          <t>The Deal value rises by the signed change order while the stage stays Won, and the base value and the change order remain visible separately.</t>
        </is>
      </c>
      <c r="J14" s="9" t="inlineStr">
        <is>
          <t>1A-38, 1A-40, 1A-42</t>
        </is>
      </c>
      <c r="K14" s="8" t="inlineStr">
        <is>
          <t>Not run</t>
        </is>
      </c>
      <c r="L14" s="9" t="inlineStr"/>
      <c r="M14" s="8" t="inlineStr"/>
      <c r="N14" s="7" t="inlineStr"/>
      <c r="O14" s="7" t="inlineStr"/>
      <c r="P14" s="7" t="inlineStr"/>
      <c r="Q14" s="9" t="inlineStr"/>
      <c r="R14" s="7" t="inlineStr"/>
      <c r="S14" s="7" t="inlineStr"/>
      <c r="T14" s="7" t="inlineStr"/>
      <c r="U14" s="8" t="inlineStr"/>
      <c r="V14" s="9" t="inlineStr"/>
      <c r="W14" s="8" t="n">
        <v>3</v>
      </c>
      <c r="X14" s="8">
        <f>COUNTIFS('Phase 1A'!$A$5:$A$76,"1A-38",'Phase 1A'!$K$5:$K$76,"Pass")+COUNTIFS('Phase 1A'!$A$5:$A$76,"1A-40",'Phase 1A'!$K$5:$K$76,"Pass")+COUNTIFS('Phase 1A'!$A$5:$A$76,"1A-42",'Phase 1A'!$K$5:$K$76,"Pass")</f>
        <v/>
      </c>
      <c r="Y14" s="9">
        <f>IF(X14=W14,"All parts pass",IF(X14=0,"No parts pass yet","Partial — "&amp;X14&amp;" of "&amp;W14))</f>
        <v/>
      </c>
    </row>
    <row r="15" ht="42" customHeight="1">
      <c r="A15" s="4" t="inlineStr">
        <is>
          <t>UC-11</t>
        </is>
      </c>
      <c r="B15" s="5" t="inlineStr">
        <is>
          <t>Phase 1A</t>
        </is>
      </c>
      <c r="C15" s="5" t="inlineStr">
        <is>
          <t>Phase 1A</t>
        </is>
      </c>
      <c r="D15" s="4" t="inlineStr">
        <is>
          <t>Multi-company working</t>
        </is>
      </c>
      <c r="E15" s="5" t="inlineStr">
        <is>
          <t>P1</t>
        </is>
      </c>
      <c r="F15" s="5" t="inlineStr">
        <is>
          <t>Manual</t>
        </is>
      </c>
      <c r="G15" s="6" t="inlineStr">
        <is>
          <t>Run by Manager, on staging with the Phase 1 test data in place.</t>
        </is>
      </c>
      <c r="H15" s="6" t="inlineStr">
        <is>
          <t>Audio Vision manager sees permitted companies only; scoped Automation runs for one branch</t>
        </is>
      </c>
      <c r="I15" s="6" t="inlineStr">
        <is>
          <t>The manager sees Deals for permitted companies only, and the scoped Automation runs for that branch's Deals and no others.</t>
        </is>
      </c>
      <c r="J15" s="6" t="inlineStr">
        <is>
          <t>1A-47, 1B-04</t>
        </is>
      </c>
      <c r="K15" s="5" t="inlineStr">
        <is>
          <t>Not run</t>
        </is>
      </c>
      <c r="L15" s="6" t="inlineStr"/>
      <c r="M15" s="5" t="inlineStr"/>
      <c r="N15" s="4" t="inlineStr"/>
      <c r="O15" s="4" t="inlineStr"/>
      <c r="P15" s="4" t="inlineStr"/>
      <c r="Q15" s="6" t="inlineStr"/>
      <c r="R15" s="4" t="inlineStr"/>
      <c r="S15" s="4" t="inlineStr"/>
      <c r="T15" s="4" t="inlineStr"/>
      <c r="U15" s="5" t="inlineStr"/>
      <c r="V15" s="6" t="inlineStr"/>
      <c r="W15" s="5" t="n">
        <v>2</v>
      </c>
      <c r="X15" s="5">
        <f>COUNTIFS('Phase 1A'!$A$5:$A$76,"1A-47",'Phase 1A'!$K$5:$K$76,"Pass")+COUNTIFS('Phase 1B'!$A$5:$A$29,"1B-04",'Phase 1B'!$K$5:$K$29,"Pass")</f>
        <v/>
      </c>
      <c r="Y15" s="6">
        <f>IF(X15=W15,"All parts pass",IF(X15=0,"No parts pass yet","Partial — "&amp;X15&amp;" of "&amp;W15))</f>
        <v/>
      </c>
    </row>
    <row r="16" ht="42" customHeight="1">
      <c r="A16" s="7" t="inlineStr">
        <is>
          <t>UC-12</t>
        </is>
      </c>
      <c r="B16" s="8" t="inlineStr">
        <is>
          <t>Phase 1B</t>
        </is>
      </c>
      <c r="C16" s="8" t="inlineStr">
        <is>
          <t>Phase 1B</t>
        </is>
      </c>
      <c r="D16" s="7" t="inlineStr">
        <is>
          <t>Switch on a recipe</t>
        </is>
      </c>
      <c r="E16" s="8" t="inlineStr">
        <is>
          <t>P1</t>
        </is>
      </c>
      <c r="F16" s="8" t="inlineStr">
        <is>
          <t>Manual</t>
        </is>
      </c>
      <c r="G16" s="9" t="inlineStr">
        <is>
          <t>Run by Admin, on staging with the Phase 1 test data in place.</t>
        </is>
      </c>
      <c r="H16" s="9" t="inlineStr">
        <is>
          <t>Choose a recipe → set owner, days and scope → activate → it fires and writes to the Deal card</t>
        </is>
      </c>
      <c r="I16" s="9" t="inlineStr">
        <is>
          <t>The recipe is live with the chosen owner, days and scope, fires on its trigger, and its result reaches the Deal card, not only the history.</t>
        </is>
      </c>
      <c r="J16" s="9" t="inlineStr">
        <is>
          <t>1B-01, 1B-02, 1B-20</t>
        </is>
      </c>
      <c r="K16" s="8" t="inlineStr">
        <is>
          <t>Not run</t>
        </is>
      </c>
      <c r="L16" s="9" t="inlineStr"/>
      <c r="M16" s="8" t="inlineStr"/>
      <c r="N16" s="7" t="inlineStr"/>
      <c r="O16" s="7" t="inlineStr"/>
      <c r="P16" s="7" t="inlineStr"/>
      <c r="Q16" s="9" t="inlineStr"/>
      <c r="R16" s="7" t="inlineStr"/>
      <c r="S16" s="7" t="inlineStr"/>
      <c r="T16" s="7" t="inlineStr"/>
      <c r="U16" s="8" t="inlineStr"/>
      <c r="V16" s="9" t="inlineStr"/>
      <c r="W16" s="8" t="n">
        <v>3</v>
      </c>
      <c r="X16" s="8">
        <f>COUNTIFS('Phase 1B'!$A$5:$A$29,"1B-01",'Phase 1B'!$K$5:$K$29,"Pass")+COUNTIFS('Phase 1B'!$A$5:$A$29,"1B-02",'Phase 1B'!$K$5:$K$29,"Pass")+COUNTIFS('Phase 1B'!$A$5:$A$29,"1B-20",'Phase 1B'!$K$5:$K$29,"Pass")</f>
        <v/>
      </c>
      <c r="Y16" s="9">
        <f>IF(X16=W16,"All parts pass",IF(X16=0,"No parts pass yet","Partial — "&amp;X16&amp;" of "&amp;W16))</f>
        <v/>
      </c>
    </row>
    <row r="17" ht="42" customHeight="1">
      <c r="A17" s="4" t="inlineStr">
        <is>
          <t>UC-13</t>
        </is>
      </c>
      <c r="B17" s="5" t="inlineStr">
        <is>
          <t>Phase 1B</t>
        </is>
      </c>
      <c r="C17" s="5" t="inlineStr">
        <is>
          <t>Phase 1B</t>
        </is>
      </c>
      <c r="D17" s="4" t="inlineStr">
        <is>
          <t>Chase a sent quote</t>
        </is>
      </c>
      <c r="E17" s="5" t="inlineStr">
        <is>
          <t>P1</t>
        </is>
      </c>
      <c r="F17" s="5" t="inlineStr">
        <is>
          <t>Manual</t>
        </is>
      </c>
      <c r="G17" s="6" t="inlineStr">
        <is>
          <t>Run by Sales, on staging with the Phase 1 test data in place.</t>
        </is>
      </c>
      <c r="H17" s="6" t="inlineStr">
        <is>
          <t>Quote sent → wait three working days → follow-up note created and visible</t>
        </is>
      </c>
      <c r="I17" s="6" t="inlineStr">
        <is>
          <t>Three working days after the quote is sent, a follow-up note exists on the Deal, attributed to the recipe and visible on the card.</t>
        </is>
      </c>
      <c r="J17" s="6" t="inlineStr">
        <is>
          <t>1B-09, 1B-21</t>
        </is>
      </c>
      <c r="K17" s="5" t="inlineStr">
        <is>
          <t>Not run</t>
        </is>
      </c>
      <c r="L17" s="6" t="inlineStr"/>
      <c r="M17" s="5" t="inlineStr"/>
      <c r="N17" s="4" t="inlineStr"/>
      <c r="O17" s="4" t="inlineStr"/>
      <c r="P17" s="4" t="inlineStr"/>
      <c r="Q17" s="6" t="inlineStr"/>
      <c r="R17" s="4" t="inlineStr"/>
      <c r="S17" s="4" t="inlineStr"/>
      <c r="T17" s="4" t="inlineStr"/>
      <c r="U17" s="5" t="inlineStr"/>
      <c r="V17" s="6" t="inlineStr"/>
      <c r="W17" s="5" t="n">
        <v>2</v>
      </c>
      <c r="X17" s="5">
        <f>COUNTIFS('Phase 1B'!$A$5:$A$29,"1B-09",'Phase 1B'!$K$5:$K$29,"Pass")+COUNTIFS('Phase 1B'!$A$5:$A$29,"1B-21",'Phase 1B'!$K$5:$K$29,"Pass")</f>
        <v/>
      </c>
      <c r="Y17" s="6">
        <f>IF(X17=W17,"All parts pass",IF(X17=0,"No parts pass yet","Partial — "&amp;X17&amp;" of "&amp;W17))</f>
        <v/>
      </c>
    </row>
    <row r="18" ht="42" customHeight="1">
      <c r="A18" s="7" t="inlineStr">
        <is>
          <t>UC-14</t>
        </is>
      </c>
      <c r="B18" s="8" t="inlineStr">
        <is>
          <t>Phase 1B</t>
        </is>
      </c>
      <c r="C18" s="8" t="inlineStr">
        <is>
          <t>Phase 1B</t>
        </is>
      </c>
      <c r="D18" s="7" t="inlineStr">
        <is>
          <t>High-value approval</t>
        </is>
      </c>
      <c r="E18" s="8" t="inlineStr">
        <is>
          <t>P1</t>
        </is>
      </c>
      <c r="F18" s="8" t="inlineStr">
        <is>
          <t>Manual</t>
        </is>
      </c>
      <c r="G18" s="9" t="inlineStr">
        <is>
          <t>Run by Sales + Approver, on staging with the Phase 1 test data in place.</t>
        </is>
      </c>
      <c r="H18" s="9" t="inlineStr">
        <is>
          <t>Quote passes review above threshold → approval note raised to the approver</t>
        </is>
      </c>
      <c r="I18" s="9" t="inlineStr">
        <is>
          <t>An approval note is raised to the named approver. The same quote below the threshold raises nothing.</t>
        </is>
      </c>
      <c r="J18" s="9" t="inlineStr">
        <is>
          <t>1B-16, 1B-17</t>
        </is>
      </c>
      <c r="K18" s="8" t="inlineStr">
        <is>
          <t>Not run</t>
        </is>
      </c>
      <c r="L18" s="9" t="inlineStr"/>
      <c r="M18" s="8" t="inlineStr"/>
      <c r="N18" s="7" t="inlineStr"/>
      <c r="O18" s="7" t="inlineStr"/>
      <c r="P18" s="7" t="inlineStr"/>
      <c r="Q18" s="9" t="inlineStr"/>
      <c r="R18" s="7" t="inlineStr"/>
      <c r="S18" s="7" t="inlineStr"/>
      <c r="T18" s="7" t="inlineStr"/>
      <c r="U18" s="8" t="inlineStr"/>
      <c r="V18" s="9" t="inlineStr"/>
      <c r="W18" s="8" t="n">
        <v>2</v>
      </c>
      <c r="X18" s="8">
        <f>COUNTIFS('Phase 1B'!$A$5:$A$29,"1B-16",'Phase 1B'!$K$5:$K$29,"Pass")+COUNTIFS('Phase 1B'!$A$5:$A$29,"1B-17",'Phase 1B'!$K$5:$K$29,"Pass")</f>
        <v/>
      </c>
      <c r="Y18" s="9">
        <f>IF(X18=W18,"All parts pass",IF(X18=0,"No parts pass yet","Partial — "&amp;X18&amp;" of "&amp;W18))</f>
        <v/>
      </c>
    </row>
    <row r="19" ht="42" customHeight="1">
      <c r="A19" s="4" t="inlineStr">
        <is>
          <t>UC-15</t>
        </is>
      </c>
      <c r="B19" s="5" t="inlineStr">
        <is>
          <t>Phase 1C</t>
        </is>
      </c>
      <c r="C19" s="5" t="inlineStr">
        <is>
          <t>Phase 1C</t>
        </is>
      </c>
      <c r="D19" s="4" t="inlineStr">
        <is>
          <t>Draft to publish</t>
        </is>
      </c>
      <c r="E19" s="5" t="inlineStr">
        <is>
          <t>P1</t>
        </is>
      </c>
      <c r="F19" s="5" t="inlineStr">
        <is>
          <t>Manual</t>
        </is>
      </c>
      <c r="G19" s="6" t="inlineStr">
        <is>
          <t>Run by Admin, on staging with the Phase 1 test data in place.</t>
        </is>
      </c>
      <c r="H19" s="6" t="inlineStr">
        <is>
          <t>Open → edit → save draft → test → validate → publish → history recorded</t>
        </is>
      </c>
      <c r="I19" s="6" t="inlineStr">
        <is>
          <t>The published version is live, the previous version is retained, and the history records who published what and when.</t>
        </is>
      </c>
      <c r="J19" s="6" t="inlineStr">
        <is>
          <t>1C-12, 1C-17, 1C-23, 1C-33</t>
        </is>
      </c>
      <c r="K19" s="5" t="inlineStr">
        <is>
          <t>Not run</t>
        </is>
      </c>
      <c r="L19" s="6" t="inlineStr"/>
      <c r="M19" s="5" t="inlineStr"/>
      <c r="N19" s="4" t="inlineStr"/>
      <c r="O19" s="4" t="inlineStr"/>
      <c r="P19" s="4" t="inlineStr"/>
      <c r="Q19" s="6" t="inlineStr"/>
      <c r="R19" s="4" t="inlineStr"/>
      <c r="S19" s="4" t="inlineStr"/>
      <c r="T19" s="4" t="inlineStr"/>
      <c r="U19" s="5" t="inlineStr"/>
      <c r="V19" s="6" t="inlineStr"/>
      <c r="W19" s="5" t="n">
        <v>4</v>
      </c>
      <c r="X19" s="5">
        <f>COUNTIFS('Phase 1C'!$A$5:$A$43,"1C-12",'Phase 1C'!$K$5:$K$43,"Pass")+COUNTIFS('Phase 1C'!$A$5:$A$43,"1C-17",'Phase 1C'!$K$5:$K$43,"Pass")+COUNTIFS('Phase 1C'!$A$5:$A$43,"1C-23",'Phase 1C'!$K$5:$K$43,"Pass")+COUNTIFS('Phase 1C'!$A$5:$A$43,"1C-33",'Phase 1C'!$K$5:$K$43,"Pass")</f>
        <v/>
      </c>
      <c r="Y19" s="6">
        <f>IF(X19=W19,"All parts pass",IF(X19=0,"No parts pass yet","Partial — "&amp;X19&amp;" of "&amp;W19))</f>
        <v/>
      </c>
    </row>
    <row r="20" ht="42" customHeight="1">
      <c r="A20" s="7" t="inlineStr">
        <is>
          <t>UC-16</t>
        </is>
      </c>
      <c r="B20" s="8" t="inlineStr">
        <is>
          <t>Phase 1C</t>
        </is>
      </c>
      <c r="C20" s="8" t="inlineStr">
        <is>
          <t>Phase 1C</t>
        </is>
      </c>
      <c r="D20" s="7" t="inlineStr">
        <is>
          <t>Blocked publish</t>
        </is>
      </c>
      <c r="E20" s="8" t="inlineStr">
        <is>
          <t>P1</t>
        </is>
      </c>
      <c r="F20" s="8" t="inlineStr">
        <is>
          <t>Manual</t>
        </is>
      </c>
      <c r="G20" s="9" t="inlineStr">
        <is>
          <t>Run by Admin, on staging with the Phase 1 test data in place.</t>
        </is>
      </c>
      <c r="H20" s="9" t="inlineStr">
        <is>
          <t>Introduce a conflict → publishing refused with the step named → fix → publish succeeds</t>
        </is>
      </c>
      <c r="I20" s="9" t="inlineStr">
        <is>
          <t>Publishing is refused with the offending step named; after the fix the same publish succeeds unchanged.</t>
        </is>
      </c>
      <c r="J20" s="9" t="inlineStr">
        <is>
          <t>1C-24, 1C-23</t>
        </is>
      </c>
      <c r="K20" s="8" t="inlineStr">
        <is>
          <t>Not run</t>
        </is>
      </c>
      <c r="L20" s="9" t="inlineStr"/>
      <c r="M20" s="8" t="inlineStr"/>
      <c r="N20" s="7" t="inlineStr"/>
      <c r="O20" s="7" t="inlineStr"/>
      <c r="P20" s="7" t="inlineStr"/>
      <c r="Q20" s="9" t="inlineStr"/>
      <c r="R20" s="7" t="inlineStr"/>
      <c r="S20" s="7" t="inlineStr"/>
      <c r="T20" s="7" t="inlineStr"/>
      <c r="U20" s="8" t="inlineStr"/>
      <c r="V20" s="9" t="inlineStr"/>
      <c r="W20" s="8" t="n">
        <v>2</v>
      </c>
      <c r="X20" s="8">
        <f>COUNTIFS('Phase 1C'!$A$5:$A$43,"1C-24",'Phase 1C'!$K$5:$K$43,"Pass")+COUNTIFS('Phase 1C'!$A$5:$A$43,"1C-23",'Phase 1C'!$K$5:$K$43,"Pass")</f>
        <v/>
      </c>
      <c r="Y20" s="9">
        <f>IF(X20=W20,"All parts pass",IF(X20=0,"No parts pass yet","Partial — "&amp;X20&amp;" of "&amp;W20))</f>
        <v/>
      </c>
    </row>
    <row r="21" ht="42" customHeight="1">
      <c r="A21" s="4" t="inlineStr">
        <is>
          <t>UC-17</t>
        </is>
      </c>
      <c r="B21" s="5" t="inlineStr">
        <is>
          <t>Phase 1C</t>
        </is>
      </c>
      <c r="C21" s="5" t="inlineStr">
        <is>
          <t>Phase 1C</t>
        </is>
      </c>
      <c r="D21" s="4" t="inlineStr">
        <is>
          <t>Required work before a move</t>
        </is>
      </c>
      <c r="E21" s="5" t="inlineStr">
        <is>
          <t>P1</t>
        </is>
      </c>
      <c r="F21" s="5" t="inlineStr">
        <is>
          <t>Manual</t>
        </is>
      </c>
      <c r="G21" s="6" t="inlineStr">
        <is>
          <t>Run by Sales, on staging with the Phase 1 test data in place.</t>
        </is>
      </c>
      <c r="H21" s="6" t="inlineStr">
        <is>
          <t>Attempt a stage move → outstanding items listed → resolve inline → original action resumes</t>
        </is>
      </c>
      <c r="I21" s="6" t="inlineStr">
        <is>
          <t>Every outstanding item is listed, each is resolvable without leaving the dialog, and the original stage move completes once the list is empty.</t>
        </is>
      </c>
      <c r="J21" s="6" t="inlineStr">
        <is>
          <t>1C-36, 1C-35</t>
        </is>
      </c>
      <c r="K21" s="5" t="inlineStr">
        <is>
          <t>Not run</t>
        </is>
      </c>
      <c r="L21" s="6" t="inlineStr"/>
      <c r="M21" s="5" t="inlineStr"/>
      <c r="N21" s="4" t="inlineStr"/>
      <c r="O21" s="4" t="inlineStr"/>
      <c r="P21" s="4" t="inlineStr"/>
      <c r="Q21" s="6" t="inlineStr"/>
      <c r="R21" s="4" t="inlineStr"/>
      <c r="S21" s="4" t="inlineStr"/>
      <c r="T21" s="4" t="inlineStr"/>
      <c r="U21" s="5" t="inlineStr"/>
      <c r="V21" s="6" t="inlineStr"/>
      <c r="W21" s="5" t="n">
        <v>2</v>
      </c>
      <c r="X21" s="5">
        <f>COUNTIFS('Phase 1C'!$A$5:$A$43,"1C-36",'Phase 1C'!$K$5:$K$43,"Pass")+COUNTIFS('Phase 1C'!$A$5:$A$43,"1C-35",'Phase 1C'!$K$5:$K$43,"Pass")</f>
        <v/>
      </c>
      <c r="Y21" s="6">
        <f>IF(X21=W21,"All parts pass",IF(X21=0,"No parts pass yet","Partial — "&amp;X21&amp;" of "&amp;W21))</f>
        <v/>
      </c>
    </row>
    <row r="22" ht="42" customHeight="1">
      <c r="A22" s="7" t="inlineStr">
        <is>
          <t>UC-18</t>
        </is>
      </c>
      <c r="B22" s="8" t="inlineStr">
        <is>
          <t>Phase 1C</t>
        </is>
      </c>
      <c r="C22" s="8" t="inlineStr">
        <is>
          <t>Phase 1C</t>
        </is>
      </c>
      <c r="D22" s="7" t="inlineStr">
        <is>
          <t>Right pipeline every time</t>
        </is>
      </c>
      <c r="E22" s="8" t="inlineStr">
        <is>
          <t>P1</t>
        </is>
      </c>
      <c r="F22" s="8" t="inlineStr">
        <is>
          <t>Manual</t>
        </is>
      </c>
      <c r="G22" s="9" t="inlineStr">
        <is>
          <t>Run by Admin, on staging with the Phase 1 test data in place.</t>
        </is>
      </c>
      <c r="H22" s="9" t="inlineStr">
        <is>
          <t>Deal on a non-Sales pipeline → open its Automations from the Deal page → correct pipeline opens</t>
        </is>
      </c>
      <c r="I22" s="9" t="inlineStr">
        <is>
          <t>Opening Automations from the Deal lands on that Deal's own pipeline every time, never the Sales default.</t>
        </is>
      </c>
      <c r="J22" s="9" t="inlineStr">
        <is>
          <t>1C-05, 1C-03, 1C-04</t>
        </is>
      </c>
      <c r="K22" s="8" t="inlineStr">
        <is>
          <t>Not run</t>
        </is>
      </c>
      <c r="L22" s="9" t="inlineStr"/>
      <c r="M22" s="8" t="inlineStr"/>
      <c r="N22" s="7" t="inlineStr"/>
      <c r="O22" s="7" t="inlineStr"/>
      <c r="P22" s="7" t="inlineStr"/>
      <c r="Q22" s="9" t="inlineStr"/>
      <c r="R22" s="7" t="inlineStr"/>
      <c r="S22" s="7" t="inlineStr"/>
      <c r="T22" s="7" t="inlineStr"/>
      <c r="U22" s="8" t="inlineStr"/>
      <c r="V22" s="9" t="inlineStr"/>
      <c r="W22" s="8" t="n">
        <v>3</v>
      </c>
      <c r="X22" s="8">
        <f>COUNTIFS('Phase 1C'!$A$5:$A$43,"1C-05",'Phase 1C'!$K$5:$K$43,"Pass")+COUNTIFS('Phase 1C'!$A$5:$A$43,"1C-03",'Phase 1C'!$K$5:$K$43,"Pass")+COUNTIFS('Phase 1C'!$A$5:$A$43,"1C-04",'Phase 1C'!$K$5:$K$43,"Pass")</f>
        <v/>
      </c>
      <c r="Y22" s="9">
        <f>IF(X22=W22,"All parts pass",IF(X22=0,"No parts pass yet","Partial — "&amp;X22&amp;" of "&amp;W22))</f>
        <v/>
      </c>
    </row>
    <row r="23" ht="42" customHeight="1">
      <c r="A23" s="4" t="inlineStr">
        <is>
          <t>UC-19</t>
        </is>
      </c>
      <c r="B23" s="5" t="inlineStr">
        <is>
          <t>Phase 1A</t>
        </is>
      </c>
      <c r="C23" s="5" t="inlineStr">
        <is>
          <t>Phase 1A</t>
        </is>
      </c>
      <c r="D23" s="4" t="inlineStr">
        <is>
          <t>Every door, one workspace</t>
        </is>
      </c>
      <c r="E23" s="5" t="inlineStr">
        <is>
          <t>P1</t>
        </is>
      </c>
      <c r="F23" s="5" t="inlineStr">
        <is>
          <t>Manual</t>
        </is>
      </c>
      <c r="G23" s="6" t="inlineStr">
        <is>
          <t>Run by Sales, on staging with the Phase 1 test data in place.</t>
        </is>
      </c>
      <c r="H23" s="6" t="inlineStr">
        <is>
          <t>Open a quote from all five routes → same workspace, same record → navigate it → share its address → return</t>
        </is>
      </c>
      <c r="I23" s="6" t="inlineStr">
        <is>
          <t>All five routes reach the dedicated workspace holding the clicked record, the CRM sidebar never reappears, every navigation item works, and the quote's address reopens it in a fresh session.</t>
        </is>
      </c>
      <c r="J23" s="6" t="inlineStr">
        <is>
          <t>1A-58, 1A-59, 1A-60, 1A-69</t>
        </is>
      </c>
      <c r="K23" s="5" t="inlineStr">
        <is>
          <t>Not run</t>
        </is>
      </c>
      <c r="L23" s="6" t="inlineStr"/>
      <c r="M23" s="5" t="inlineStr"/>
      <c r="N23" s="4" t="inlineStr"/>
      <c r="O23" s="4" t="inlineStr"/>
      <c r="P23" s="4" t="inlineStr"/>
      <c r="Q23" s="6" t="inlineStr"/>
      <c r="R23" s="4" t="inlineStr"/>
      <c r="S23" s="4" t="inlineStr"/>
      <c r="T23" s="4" t="inlineStr"/>
      <c r="U23" s="5" t="inlineStr"/>
      <c r="V23" s="6" t="inlineStr"/>
      <c r="W23" s="5" t="n">
        <v>4</v>
      </c>
      <c r="X23" s="5">
        <f>COUNTIFS('Phase 1A'!$A$5:$A$76,"1A-58",'Phase 1A'!$K$5:$K$76,"Pass")+COUNTIFS('Phase 1A'!$A$5:$A$76,"1A-59",'Phase 1A'!$K$5:$K$76,"Pass")+COUNTIFS('Phase 1A'!$A$5:$A$76,"1A-60",'Phase 1A'!$K$5:$K$76,"Pass")+COUNTIFS('Phase 1A'!$A$5:$A$76,"1A-69",'Phase 1A'!$K$5:$K$76,"Pass")</f>
        <v/>
      </c>
      <c r="Y23" s="6">
        <f>IF(X23=W23,"All parts pass",IF(X23=0,"No parts pass yet","Partial — "&amp;X23&amp;" of "&amp;W23))</f>
        <v/>
      </c>
    </row>
    <row r="24" ht="42" customHeight="1">
      <c r="A24" s="7" t="inlineStr">
        <is>
          <t>UC-20</t>
        </is>
      </c>
      <c r="B24" s="8" t="inlineStr">
        <is>
          <t>Phase 1A</t>
        </is>
      </c>
      <c r="C24" s="8" t="inlineStr">
        <is>
          <t>Phase 1A</t>
        </is>
      </c>
      <c r="D24" s="7" t="inlineStr">
        <is>
          <t>Group the work, then change it</t>
        </is>
      </c>
      <c r="E24" s="8" t="inlineStr">
        <is>
          <t>P1</t>
        </is>
      </c>
      <c r="F24" s="8" t="inlineStr">
        <is>
          <t>Manual</t>
        </is>
      </c>
      <c r="G24" s="9" t="inlineStr">
        <is>
          <t>Run by Sales, on staging with the Phase 1 test data in place.</t>
        </is>
      </c>
      <c r="H24" s="9" t="inlineStr">
        <is>
          <t>Link a loose quote → add an option → switch it to another deal → unlink → records stay whole throughout</t>
        </is>
      </c>
      <c r="I24" s="9" t="inlineStr">
        <is>
          <t>Each relationship action states what it changes before it changes it, both option counts stay truthful throughout, every step writes an audit event, and no quote or deal is left orphaned or duplicated.</t>
        </is>
      </c>
      <c r="J24" s="9" t="inlineStr">
        <is>
          <t>1A-61, 1A-64, 1A-66, 1A-68</t>
        </is>
      </c>
      <c r="K24" s="8" t="inlineStr">
        <is>
          <t>Not run</t>
        </is>
      </c>
      <c r="L24" s="9" t="inlineStr"/>
      <c r="M24" s="8" t="inlineStr"/>
      <c r="N24" s="7" t="inlineStr"/>
      <c r="O24" s="7" t="inlineStr"/>
      <c r="P24" s="7" t="inlineStr"/>
      <c r="Q24" s="9" t="inlineStr"/>
      <c r="R24" s="7" t="inlineStr"/>
      <c r="S24" s="7" t="inlineStr"/>
      <c r="T24" s="7" t="inlineStr"/>
      <c r="U24" s="8" t="inlineStr"/>
      <c r="V24" s="9" t="inlineStr"/>
      <c r="W24" s="8" t="n">
        <v>4</v>
      </c>
      <c r="X24" s="8">
        <f>COUNTIFS('Phase 1A'!$A$5:$A$76,"1A-61",'Phase 1A'!$K$5:$K$76,"Pass")+COUNTIFS('Phase 1A'!$A$5:$A$76,"1A-64",'Phase 1A'!$K$5:$K$76,"Pass")+COUNTIFS('Phase 1A'!$A$5:$A$76,"1A-66",'Phase 1A'!$K$5:$K$76,"Pass")+COUNTIFS('Phase 1A'!$A$5:$A$76,"1A-68",'Phase 1A'!$K$5:$K$76,"Pass")</f>
        <v/>
      </c>
      <c r="Y24" s="9">
        <f>IF(X24=W24,"All parts pass",IF(X24=0,"No parts pass yet","Partial — "&amp;X24&amp;" of "&amp;W24))</f>
        <v/>
      </c>
    </row>
    <row r="26">
      <c r="A26" s="17" t="inlineStr">
        <is>
          <t>Journeys passed end to end</t>
        </is>
      </c>
      <c r="D26" s="17">
        <f>COUNTIF(K5:K24,"Pass")&amp;" of "&amp;COUNTA(K5:K24)</f>
        <v/>
      </c>
    </row>
    <row r="27">
      <c r="A27" s="18" t="inlineStr">
        <is>
          <t>Journeys whose parts all pass</t>
        </is>
      </c>
      <c r="D27" s="18">
        <f>COUNTIF(Y5:Y24,"All parts pass")&amp;" of "&amp;COUNTA(Y5:Y24)</f>
        <v/>
      </c>
    </row>
    <row r="28">
      <c r="A28" s="2" t="inlineStr">
        <is>
          <t>A journey is only proven by its own Status. The second line is a readiness hint, not evidence.</t>
        </is>
      </c>
    </row>
  </sheetData>
  <autoFilter ref="A4:Y24"/>
  <conditionalFormatting sqref="K5:K24">
    <cfRule type="cellIs" priority="1" operator="equal" dxfId="0">
      <formula>"Pass"</formula>
    </cfRule>
    <cfRule type="cellIs" priority="2" operator="equal" dxfId="5">
      <formula>"Fail"</formula>
    </cfRule>
    <cfRule type="cellIs" priority="3" operator="equal" dxfId="7">
      <formula>"Blocked"</formula>
    </cfRule>
    <cfRule type="cellIs" priority="4" operator="equal" dxfId="3">
      <formula>"N/A"</formula>
    </cfRule>
    <cfRule type="cellIs" priority="5" operator="equal" dxfId="4">
      <formula>"Not run"</formula>
    </cfRule>
  </conditionalFormatting>
  <dataValidations count="3">
    <dataValidation sqref="K5:K24" showDropDown="0" showInputMessage="0" showErrorMessage="0" allowBlank="0" type="list">
      <formula1>"Not run,Pass,Fail,Blocked,N/A"</formula1>
    </dataValidation>
    <dataValidation sqref="E5:E24" showDropDown="0" showInputMessage="0" showErrorMessage="0" allowBlank="0" type="list">
      <formula1>"P1,P2,P3"</formula1>
    </dataValidation>
    <dataValidation sqref="F5:F24" showDropDown="0" showInputMessage="0" showErrorMessage="0" allowBlank="0" type="list">
      <formula1>"Manual,Automated,Both"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76"/>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Phase 1A</t>
        </is>
      </c>
    </row>
    <row r="2">
      <c r="A2" s="2" t="inlineStr">
        <is>
          <t>CRM foundation — records, stage logic, alternatives, change orders, value, visibility and tenancy.</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1A-01</t>
        </is>
      </c>
      <c r="B5" s="5" t="inlineStr">
        <is>
          <t>Phase 1A</t>
        </is>
      </c>
      <c r="C5" s="5" t="inlineStr">
        <is>
          <t>Phase 1A</t>
        </is>
      </c>
      <c r="D5" s="4" t="inlineStr">
        <is>
          <t>Lead</t>
        </is>
      </c>
      <c r="E5" s="5" t="inlineStr">
        <is>
          <t>P1</t>
        </is>
      </c>
      <c r="F5" s="5" t="inlineStr">
        <is>
          <t>Manual</t>
        </is>
      </c>
      <c r="G5" s="6" t="inlineStr">
        <is>
          <t>A customer named Hillside Residence already exists.</t>
        </is>
      </c>
      <c r="H5" s="6" t="inlineStr">
        <is>
          <t>Create a Lead for 'Hillside Residence'.</t>
        </is>
      </c>
      <c r="I5" s="6" t="inlineStr">
        <is>
          <t>Possible matches are shown before saving. The user must pick one or explicitly create new. No customer is created silently.</t>
        </is>
      </c>
      <c r="J5" s="6" t="inlineStr">
        <is>
          <t>FR-27 / AC-LEAD-01</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1A-02</t>
        </is>
      </c>
      <c r="B6" s="8" t="inlineStr">
        <is>
          <t>Phase 1A</t>
        </is>
      </c>
      <c r="C6" s="8" t="inlineStr">
        <is>
          <t>Phase 1A</t>
        </is>
      </c>
      <c r="D6" s="7" t="inlineStr">
        <is>
          <t>Lead</t>
        </is>
      </c>
      <c r="E6" s="8" t="inlineStr">
        <is>
          <t>P1</t>
        </is>
      </c>
      <c r="F6" s="8" t="inlineStr">
        <is>
          <t>Manual</t>
        </is>
      </c>
      <c r="G6" s="9" t="inlineStr">
        <is>
          <t>An open Lead exists.</t>
        </is>
      </c>
      <c r="H6" s="9" t="inlineStr">
        <is>
          <t>Convert the Lead to a Deal.</t>
        </is>
      </c>
      <c r="I6" s="9" t="inlineStr">
        <is>
          <t>Exactly one Deal is created, in Qualified. The Lead becomes converted and read-only.</t>
        </is>
      </c>
      <c r="J6" s="9" t="inlineStr">
        <is>
          <t>FR-28 / AC-LEAD-02, AC-LEAD-03</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1A-03</t>
        </is>
      </c>
      <c r="B7" s="5" t="inlineStr">
        <is>
          <t>Phase 1A</t>
        </is>
      </c>
      <c r="C7" s="5" t="inlineStr">
        <is>
          <t>Phase 1A</t>
        </is>
      </c>
      <c r="D7" s="4" t="inlineStr">
        <is>
          <t>Lead</t>
        </is>
      </c>
      <c r="E7" s="5" t="inlineStr">
        <is>
          <t>P2</t>
        </is>
      </c>
      <c r="F7" s="5" t="inlineStr">
        <is>
          <t>Manual</t>
        </is>
      </c>
      <c r="G7" s="6" t="inlineStr">
        <is>
          <t>A converted Lead exists.</t>
        </is>
      </c>
      <c r="H7" s="6" t="inlineStr">
        <is>
          <t>Attempt to convert it again.</t>
        </is>
      </c>
      <c r="I7" s="6" t="inlineStr">
        <is>
          <t>Rejected. A message names the Deal that already exists and links to it. No second Deal is created.</t>
        </is>
      </c>
      <c r="J7" s="6" t="inlineStr">
        <is>
          <t>AC-LEAD-03</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1A-04</t>
        </is>
      </c>
      <c r="B8" s="8" t="inlineStr">
        <is>
          <t>Phase 1A</t>
        </is>
      </c>
      <c r="C8" s="8" t="inlineStr">
        <is>
          <t>Phase 1A</t>
        </is>
      </c>
      <c r="D8" s="7" t="inlineStr">
        <is>
          <t>Lead</t>
        </is>
      </c>
      <c r="E8" s="8" t="inlineStr">
        <is>
          <t>P1</t>
        </is>
      </c>
      <c r="F8" s="8" t="inlineStr">
        <is>
          <t>Manual</t>
        </is>
      </c>
      <c r="G8" s="9" t="inlineStr">
        <is>
          <t>An open Lead exists.</t>
        </is>
      </c>
      <c r="H8" s="9" t="inlineStr">
        <is>
          <t>Discard it without choosing a reason.</t>
        </is>
      </c>
      <c r="I8" s="9" t="inlineStr">
        <is>
          <t>Discard is refused. The reason field is marked required and the Lead stays open until one is chosen.</t>
        </is>
      </c>
      <c r="J8" s="9" t="inlineStr">
        <is>
          <t>AC-LEAD-04</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1A-05</t>
        </is>
      </c>
      <c r="B9" s="5" t="inlineStr">
        <is>
          <t>Phase 1A</t>
        </is>
      </c>
      <c r="C9" s="5" t="inlineStr">
        <is>
          <t>Phase 1A</t>
        </is>
      </c>
      <c r="D9" s="4" t="inlineStr">
        <is>
          <t>Lead</t>
        </is>
      </c>
      <c r="E9" s="5" t="inlineStr">
        <is>
          <t>P1</t>
        </is>
      </c>
      <c r="F9" s="5" t="inlineStr">
        <is>
          <t>Manual</t>
        </is>
      </c>
      <c r="G9" s="6" t="inlineStr">
        <is>
          <t>An open Lead exists.</t>
        </is>
      </c>
      <c r="H9" s="6" t="inlineStr">
        <is>
          <t>Try every route to attach a quote to the Lead.</t>
        </is>
      </c>
      <c r="I9" s="6" t="inlineStr">
        <is>
          <t>No route exists — not from the Lead, not from the quote list, not by direct URL. A quote can only attach to a Deal.</t>
        </is>
      </c>
      <c r="J9" s="6" t="inlineStr">
        <is>
          <t>FR-26 / AC-LEAD-05</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1A-06</t>
        </is>
      </c>
      <c r="B10" s="8" t="inlineStr">
        <is>
          <t>Phase 1A</t>
        </is>
      </c>
      <c r="C10" s="8" t="inlineStr">
        <is>
          <t>Phase 1A</t>
        </is>
      </c>
      <c r="D10" s="7" t="inlineStr">
        <is>
          <t>Lead</t>
        </is>
      </c>
      <c r="E10" s="8" t="inlineStr">
        <is>
          <t>P2</t>
        </is>
      </c>
      <c r="F10" s="8" t="inlineStr">
        <is>
          <t>Manual</t>
        </is>
      </c>
      <c r="G10" s="9" t="inlineStr">
        <is>
          <t>Leads across several companies.</t>
        </is>
      </c>
      <c r="H10" s="9" t="inlineStr">
        <is>
          <t>Filter the Lead inbox by company.</t>
        </is>
      </c>
      <c r="I10" s="9" t="inlineStr">
        <is>
          <t>Only Leads whose owning company matches the filter are listed. The count in the header matches the rows shown.</t>
        </is>
      </c>
      <c r="J10" s="9" t="inlineStr">
        <is>
          <t>FR-38 / C15</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1A-07</t>
        </is>
      </c>
      <c r="B11" s="5" t="inlineStr">
        <is>
          <t>Phase 1A</t>
        </is>
      </c>
      <c r="C11" s="5" t="inlineStr">
        <is>
          <t>Phase 1A</t>
        </is>
      </c>
      <c r="D11" s="4" t="inlineStr">
        <is>
          <t>Quote status decides Deal stage</t>
        </is>
      </c>
      <c r="E11" s="5" t="inlineStr">
        <is>
          <t>P1</t>
        </is>
      </c>
      <c r="F11" s="5" t="inlineStr">
        <is>
          <t>Automated</t>
        </is>
      </c>
      <c r="G11" s="6" t="inlineStr">
        <is>
          <t>A Deal with no related quote.</t>
        </is>
      </c>
      <c r="H11" s="6" t="inlineStr">
        <is>
          <t>Inspect the Deal stage.</t>
        </is>
      </c>
      <c r="I11" s="6" t="inlineStr">
        <is>
          <t>The Deal reads Qualified. No stage control is offered to the user.</t>
        </is>
      </c>
      <c r="J11" s="6" t="inlineStr">
        <is>
          <t>AC-DEAL-01</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1A-08</t>
        </is>
      </c>
      <c r="B12" s="8" t="inlineStr">
        <is>
          <t>Phase 1A</t>
        </is>
      </c>
      <c r="C12" s="8" t="inlineStr">
        <is>
          <t>Phase 1A</t>
        </is>
      </c>
      <c r="D12" s="7" t="inlineStr">
        <is>
          <t>Quote status decides Deal stage</t>
        </is>
      </c>
      <c r="E12" s="8" t="inlineStr">
        <is>
          <t>P1</t>
        </is>
      </c>
      <c r="F12" s="8" t="inlineStr">
        <is>
          <t>Automated</t>
        </is>
      </c>
      <c r="G12" s="9" t="inlineStr">
        <is>
          <t>A Deal in Qualified.</t>
        </is>
      </c>
      <c r="H12" s="9" t="inlineStr">
        <is>
          <t>Create the first related quote.</t>
        </is>
      </c>
      <c r="I12" s="9" t="inlineStr">
        <is>
          <t>The Deal moves to In Progress. No screen offers a manual move.</t>
        </is>
      </c>
      <c r="J12" s="9" t="inlineStr">
        <is>
          <t>Locked rule 1</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1A-09</t>
        </is>
      </c>
      <c r="B13" s="5" t="inlineStr">
        <is>
          <t>Phase 1A</t>
        </is>
      </c>
      <c r="C13" s="5" t="inlineStr">
        <is>
          <t>Phase 1A</t>
        </is>
      </c>
      <c r="D13" s="4" t="inlineStr">
        <is>
          <t>Quote status decides Deal stage</t>
        </is>
      </c>
      <c r="E13" s="5" t="inlineStr">
        <is>
          <t>P1</t>
        </is>
      </c>
      <c r="F13" s="5" t="inlineStr">
        <is>
          <t>Automated</t>
        </is>
      </c>
      <c r="G13" s="6" t="inlineStr">
        <is>
          <t>A draft quote; quote review enabled.</t>
        </is>
      </c>
      <c r="H13" s="6" t="inlineStr">
        <is>
          <t>Submit the quote for review.</t>
        </is>
      </c>
      <c r="I13" s="6" t="inlineStr">
        <is>
          <t>The Deal moves to In Review, the history records the trigger, and no other Deal is affected.</t>
        </is>
      </c>
      <c r="J13" s="6" t="inlineStr">
        <is>
          <t>AC-DEAL-01</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1A-10</t>
        </is>
      </c>
      <c r="B14" s="8" t="inlineStr">
        <is>
          <t>Phase 1A</t>
        </is>
      </c>
      <c r="C14" s="8" t="inlineStr">
        <is>
          <t>Phase 1A</t>
        </is>
      </c>
      <c r="D14" s="7" t="inlineStr">
        <is>
          <t>Quote status decides Deal stage</t>
        </is>
      </c>
      <c r="E14" s="8" t="inlineStr">
        <is>
          <t>P1</t>
        </is>
      </c>
      <c r="F14" s="8" t="inlineStr">
        <is>
          <t>Automated</t>
        </is>
      </c>
      <c r="G14" s="9" t="inlineStr">
        <is>
          <t>A quote in review.</t>
        </is>
      </c>
      <c r="H14" s="9" t="inlineStr">
        <is>
          <t>Reviewer passes the quote.</t>
        </is>
      </c>
      <c r="I14" s="9" t="inlineStr">
        <is>
          <t>The Deal moves to Passed Review and the history records who passed it and when.</t>
        </is>
      </c>
      <c r="J14" s="9" t="inlineStr">
        <is>
          <t>AC-DEAL-01</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1A-11</t>
        </is>
      </c>
      <c r="B15" s="5" t="inlineStr">
        <is>
          <t>Phase 1A</t>
        </is>
      </c>
      <c r="C15" s="5" t="inlineStr">
        <is>
          <t>Phase 1A</t>
        </is>
      </c>
      <c r="D15" s="4" t="inlineStr">
        <is>
          <t>Quote status decides Deal stage</t>
        </is>
      </c>
      <c r="E15" s="5" t="inlineStr">
        <is>
          <t>P1</t>
        </is>
      </c>
      <c r="F15" s="5" t="inlineStr">
        <is>
          <t>Automated</t>
        </is>
      </c>
      <c r="G15" s="6" t="inlineStr">
        <is>
          <t>A quote that passed review.</t>
        </is>
      </c>
      <c r="H15" s="6" t="inlineStr">
        <is>
          <t>Send the quote to the client.</t>
        </is>
      </c>
      <c r="I15" s="6" t="inlineStr">
        <is>
          <t>The Deal moves to Sent and the sent date is recorded against the quote.</t>
        </is>
      </c>
      <c r="J15" s="6" t="inlineStr">
        <is>
          <t>AC-DEAL-01</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1A-12</t>
        </is>
      </c>
      <c r="B16" s="8" t="inlineStr">
        <is>
          <t>Phase 1A</t>
        </is>
      </c>
      <c r="C16" s="8" t="inlineStr">
        <is>
          <t>Phase 1A</t>
        </is>
      </c>
      <c r="D16" s="7" t="inlineStr">
        <is>
          <t>Quote status decides Deal stage</t>
        </is>
      </c>
      <c r="E16" s="8" t="inlineStr">
        <is>
          <t>P1</t>
        </is>
      </c>
      <c r="F16" s="8" t="inlineStr">
        <is>
          <t>Automated</t>
        </is>
      </c>
      <c r="G16" s="9" t="inlineStr">
        <is>
          <t>Quote review DISABLED for the organisation.</t>
        </is>
      </c>
      <c r="H16" s="9" t="inlineStr">
        <is>
          <t>Send a quote directly from In Progress.</t>
        </is>
      </c>
      <c r="I16" s="9" t="inlineStr">
        <is>
          <t>The Deal moves straight to Sent. In Review and Passed Review never appear.</t>
        </is>
      </c>
      <c r="J16" s="9" t="inlineStr">
        <is>
          <t>A6 / FR-12</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1A-13</t>
        </is>
      </c>
      <c r="B17" s="5" t="inlineStr">
        <is>
          <t>Phase 1A</t>
        </is>
      </c>
      <c r="C17" s="5" t="inlineStr">
        <is>
          <t>Phase 1A</t>
        </is>
      </c>
      <c r="D17" s="4" t="inlineStr">
        <is>
          <t>Quote status decides Deal stage</t>
        </is>
      </c>
      <c r="E17" s="5" t="inlineStr">
        <is>
          <t>P1</t>
        </is>
      </c>
      <c r="F17" s="5" t="inlineStr">
        <is>
          <t>Automated</t>
        </is>
      </c>
      <c r="G17" s="6" t="inlineStr">
        <is>
          <t>A quote in review.</t>
        </is>
      </c>
      <c r="H17" s="6" t="inlineStr">
        <is>
          <t>Reviewer requests changes.</t>
        </is>
      </c>
      <c r="I17" s="6" t="inlineStr">
        <is>
          <t>The Deal returns to In Progress. The history records the reason as changes requested, and the quote is editable again.</t>
        </is>
      </c>
      <c r="J17" s="6" t="inlineStr">
        <is>
          <t>A6</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1A-14</t>
        </is>
      </c>
      <c r="B18" s="8" t="inlineStr">
        <is>
          <t>Phase 1A</t>
        </is>
      </c>
      <c r="C18" s="8" t="inlineStr">
        <is>
          <t>Phase 1A</t>
        </is>
      </c>
      <c r="D18" s="7" t="inlineStr">
        <is>
          <t>Quote status decides Deal stage</t>
        </is>
      </c>
      <c r="E18" s="8" t="inlineStr">
        <is>
          <t>P1</t>
        </is>
      </c>
      <c r="F18" s="8" t="inlineStr">
        <is>
          <t>Automated</t>
        </is>
      </c>
      <c r="G18" s="9" t="inlineStr">
        <is>
          <t>A Deal with a quote in state Accepted.</t>
        </is>
      </c>
      <c r="H18" s="9" t="inlineStr">
        <is>
          <t>Inspect the Deal stage.</t>
        </is>
      </c>
      <c r="I18" s="9" t="inlineStr">
        <is>
          <t>The Deal reads Won. The accepted quote is marked as the winner and the signed value is locked to its amount.</t>
        </is>
      </c>
      <c r="J18" s="9" t="inlineStr">
        <is>
          <t>Locked rule 2 / AC-DEAL-01</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1A-15</t>
        </is>
      </c>
      <c r="B19" s="5" t="inlineStr">
        <is>
          <t>Phase 1A</t>
        </is>
      </c>
      <c r="C19" s="5" t="inlineStr">
        <is>
          <t>Phase 1A</t>
        </is>
      </c>
      <c r="D19" s="4" t="inlineStr">
        <is>
          <t>Quote status decides Deal stage</t>
        </is>
      </c>
      <c r="E19" s="5" t="inlineStr">
        <is>
          <t>P1</t>
        </is>
      </c>
      <c r="F19" s="5" t="inlineStr">
        <is>
          <t>Automated</t>
        </is>
      </c>
      <c r="G19" s="6" t="inlineStr">
        <is>
          <t>A Deal with a quote in state Complete.</t>
        </is>
      </c>
      <c r="H19" s="6" t="inlineStr">
        <is>
          <t>Inspect the Deal stage.</t>
        </is>
      </c>
      <c r="I19" s="6" t="inlineStr">
        <is>
          <t>The Deal reads Won. Complete maps to Won exactly as Accepted does, with no difference in stage or value handling.</t>
        </is>
      </c>
      <c r="J19" s="6" t="inlineStr">
        <is>
          <t>Locked rule 2</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1A-16</t>
        </is>
      </c>
      <c r="B20" s="8" t="inlineStr">
        <is>
          <t>Phase 1A</t>
        </is>
      </c>
      <c r="C20" s="8" t="inlineStr">
        <is>
          <t>Phase 1A</t>
        </is>
      </c>
      <c r="D20" s="7" t="inlineStr">
        <is>
          <t>Quote status decides Deal stage</t>
        </is>
      </c>
      <c r="E20" s="8" t="inlineStr">
        <is>
          <t>P1</t>
        </is>
      </c>
      <c r="F20" s="8" t="inlineStr">
        <is>
          <t>Automated</t>
        </is>
      </c>
      <c r="G20" s="9" t="inlineStr">
        <is>
          <t>Three live quotes in one alternative group.</t>
        </is>
      </c>
      <c r="H20" s="9" t="inlineStr">
        <is>
          <t>Accept one.</t>
        </is>
      </c>
      <c r="I20" s="9" t="inlineStr">
        <is>
          <t>The Deal becomes Won immediately. The other two are system-rejected and stay in history.</t>
        </is>
      </c>
      <c r="J20" s="9" t="inlineStr">
        <is>
          <t>Locked rule 2 / AC-DEAL-07</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row r="21" ht="40" customHeight="1">
      <c r="A21" s="4" t="inlineStr">
        <is>
          <t>1A-17</t>
        </is>
      </c>
      <c r="B21" s="5" t="inlineStr">
        <is>
          <t>Phase 1A</t>
        </is>
      </c>
      <c r="C21" s="5" t="inlineStr">
        <is>
          <t>Phase 1A</t>
        </is>
      </c>
      <c r="D21" s="4" t="inlineStr">
        <is>
          <t>Quote status decides Deal stage</t>
        </is>
      </c>
      <c r="E21" s="5" t="inlineStr">
        <is>
          <t>P1</t>
        </is>
      </c>
      <c r="F21" s="5" t="inlineStr">
        <is>
          <t>Automated</t>
        </is>
      </c>
      <c r="G21" s="6" t="inlineStr">
        <is>
          <t>A Won Deal with another group unresolved.</t>
        </is>
      </c>
      <c r="H21" s="6" t="inlineStr">
        <is>
          <t>Resolve the remaining group.</t>
        </is>
      </c>
      <c r="I21" s="6" t="inlineStr">
        <is>
          <t>The signed value updates to include the newly resolved group. The stage stays Won and the history shows a value change, not a stage change.</t>
        </is>
      </c>
      <c r="J21" s="6" t="inlineStr">
        <is>
          <t>Locked rule 2</t>
        </is>
      </c>
      <c r="K21" s="5" t="inlineStr">
        <is>
          <t>Not run</t>
        </is>
      </c>
      <c r="L21" s="6" t="inlineStr"/>
      <c r="M21" s="5" t="inlineStr"/>
      <c r="N21" s="4" t="inlineStr"/>
      <c r="O21" s="4" t="inlineStr"/>
      <c r="P21" s="4" t="inlineStr"/>
      <c r="Q21" s="6" t="inlineStr"/>
      <c r="R21" s="4" t="inlineStr"/>
      <c r="S21" s="4" t="inlineStr"/>
      <c r="T21" s="4" t="inlineStr"/>
      <c r="U21" s="5" t="inlineStr"/>
      <c r="V21" s="6" t="inlineStr"/>
    </row>
    <row r="22" ht="40" customHeight="1">
      <c r="A22" s="7" t="inlineStr">
        <is>
          <t>1A-18</t>
        </is>
      </c>
      <c r="B22" s="8" t="inlineStr">
        <is>
          <t>Phase 1A</t>
        </is>
      </c>
      <c r="C22" s="8" t="inlineStr">
        <is>
          <t>Phase 1A</t>
        </is>
      </c>
      <c r="D22" s="7" t="inlineStr">
        <is>
          <t>Quote status decides Deal stage</t>
        </is>
      </c>
      <c r="E22" s="8" t="inlineStr">
        <is>
          <t>P1</t>
        </is>
      </c>
      <c r="F22" s="8" t="inlineStr">
        <is>
          <t>Automated</t>
        </is>
      </c>
      <c r="G22" s="9" t="inlineStr">
        <is>
          <t>Every related quote cancelled.</t>
        </is>
      </c>
      <c r="H22" s="9" t="inlineStr">
        <is>
          <t>Inspect the Deal.</t>
        </is>
      </c>
      <c r="I22" s="9" t="inlineStr">
        <is>
          <t>The Deal shows Archived as a status, not a stage. It is excluded from win-rate reporting and does not appear as Lost.</t>
        </is>
      </c>
      <c r="J22" s="9" t="inlineStr">
        <is>
          <t>AC-DEAL-02</t>
        </is>
      </c>
      <c r="K22" s="8" t="inlineStr">
        <is>
          <t>Not run</t>
        </is>
      </c>
      <c r="L22" s="9" t="inlineStr"/>
      <c r="M22" s="8" t="inlineStr"/>
      <c r="N22" s="7" t="inlineStr"/>
      <c r="O22" s="7" t="inlineStr"/>
      <c r="P22" s="7" t="inlineStr"/>
      <c r="Q22" s="9" t="inlineStr"/>
      <c r="R22" s="7" t="inlineStr"/>
      <c r="S22" s="7" t="inlineStr"/>
      <c r="T22" s="7" t="inlineStr"/>
      <c r="U22" s="8" t="inlineStr"/>
      <c r="V22" s="9" t="inlineStr"/>
    </row>
    <row r="23" ht="40" customHeight="1">
      <c r="A23" s="4" t="inlineStr">
        <is>
          <t>1A-19</t>
        </is>
      </c>
      <c r="B23" s="5" t="inlineStr">
        <is>
          <t>Phase 1A</t>
        </is>
      </c>
      <c r="C23" s="5" t="inlineStr">
        <is>
          <t>Phase 1A</t>
        </is>
      </c>
      <c r="D23" s="4" t="inlineStr">
        <is>
          <t>Quote status decides Deal stage</t>
        </is>
      </c>
      <c r="E23" s="5" t="inlineStr">
        <is>
          <t>P1</t>
        </is>
      </c>
      <c r="F23" s="5" t="inlineStr">
        <is>
          <t>Automated</t>
        </is>
      </c>
      <c r="G23" s="6" t="inlineStr">
        <is>
          <t>Two sent quotes, both expired.</t>
        </is>
      </c>
      <c r="H23" s="6" t="inlineStr">
        <is>
          <t>Inspect the Deal.</t>
        </is>
      </c>
      <c r="I23" s="6" t="inlineStr">
        <is>
          <t>Lost, derived. Sales is asked for a reason; supplying it does not change the outcome.</t>
        </is>
      </c>
      <c r="J23" s="6" t="inlineStr">
        <is>
          <t>Locked rule 3</t>
        </is>
      </c>
      <c r="K23" s="5" t="inlineStr">
        <is>
          <t>Not run</t>
        </is>
      </c>
      <c r="L23" s="6" t="inlineStr"/>
      <c r="M23" s="5" t="inlineStr"/>
      <c r="N23" s="4" t="inlineStr"/>
      <c r="O23" s="4" t="inlineStr"/>
      <c r="P23" s="4" t="inlineStr"/>
      <c r="Q23" s="6" t="inlineStr"/>
      <c r="R23" s="4" t="inlineStr"/>
      <c r="S23" s="4" t="inlineStr"/>
      <c r="T23" s="4" t="inlineStr"/>
      <c r="U23" s="5" t="inlineStr"/>
      <c r="V23" s="6" t="inlineStr"/>
    </row>
    <row r="24" ht="40" customHeight="1">
      <c r="A24" s="7" t="inlineStr">
        <is>
          <t>1A-20</t>
        </is>
      </c>
      <c r="B24" s="8" t="inlineStr">
        <is>
          <t>Phase 1A</t>
        </is>
      </c>
      <c r="C24" s="8" t="inlineStr">
        <is>
          <t>Phase 1A</t>
        </is>
      </c>
      <c r="D24" s="7" t="inlineStr">
        <is>
          <t>Quote status decides Deal stage</t>
        </is>
      </c>
      <c r="E24" s="8" t="inlineStr">
        <is>
          <t>P1</t>
        </is>
      </c>
      <c r="F24" s="8" t="inlineStr">
        <is>
          <t>Automated</t>
        </is>
      </c>
      <c r="G24" s="9" t="inlineStr">
        <is>
          <t>Mixed: Q1 cancelled, Q2 expired, Q3 draft.</t>
        </is>
      </c>
      <c r="H24" s="9" t="inlineStr">
        <is>
          <t>Inspect the Deal stage.</t>
        </is>
      </c>
      <c r="I24" s="9" t="inlineStr">
        <is>
          <t>In Progress. Q3 is the only quote that still qualifies.</t>
        </is>
      </c>
      <c r="J24" s="9" t="inlineStr">
        <is>
          <t>AC-DEAL-01</t>
        </is>
      </c>
      <c r="K24" s="8" t="inlineStr">
        <is>
          <t>Not run</t>
        </is>
      </c>
      <c r="L24" s="9" t="inlineStr"/>
      <c r="M24" s="8" t="inlineStr"/>
      <c r="N24" s="7" t="inlineStr"/>
      <c r="O24" s="7" t="inlineStr"/>
      <c r="P24" s="7" t="inlineStr"/>
      <c r="Q24" s="9" t="inlineStr"/>
      <c r="R24" s="7" t="inlineStr"/>
      <c r="S24" s="7" t="inlineStr"/>
      <c r="T24" s="7" t="inlineStr"/>
      <c r="U24" s="8" t="inlineStr"/>
      <c r="V24" s="9" t="inlineStr"/>
    </row>
    <row r="25" ht="40" customHeight="1">
      <c r="A25" s="4" t="inlineStr">
        <is>
          <t>1A-21</t>
        </is>
      </c>
      <c r="B25" s="5" t="inlineStr">
        <is>
          <t>Phase 1A</t>
        </is>
      </c>
      <c r="C25" s="5" t="inlineStr">
        <is>
          <t>Phase 1A</t>
        </is>
      </c>
      <c r="D25" s="4" t="inlineStr">
        <is>
          <t>Quote status decides Deal stage</t>
        </is>
      </c>
      <c r="E25" s="5" t="inlineStr">
        <is>
          <t>P1</t>
        </is>
      </c>
      <c r="F25" s="5" t="inlineStr">
        <is>
          <t>Automated</t>
        </is>
      </c>
      <c r="G25" s="6" t="inlineStr">
        <is>
          <t>A Deal with one sample quote only.</t>
        </is>
      </c>
      <c r="H25" s="6" t="inlineStr">
        <is>
          <t>Inspect the Deal stage.</t>
        </is>
      </c>
      <c r="I25" s="6" t="inlineStr">
        <is>
          <t>The sample quote is ignored entirely. The Deal reads Qualified and the sample does not appear in the Deal's quote count.</t>
        </is>
      </c>
      <c r="J25" s="6" t="inlineStr">
        <is>
          <t>AC-DEAL-04</t>
        </is>
      </c>
      <c r="K25" s="5" t="inlineStr">
        <is>
          <t>Not run</t>
        </is>
      </c>
      <c r="L25" s="6" t="inlineStr"/>
      <c r="M25" s="5" t="inlineStr"/>
      <c r="N25" s="4" t="inlineStr"/>
      <c r="O25" s="4" t="inlineStr"/>
      <c r="P25" s="4" t="inlineStr"/>
      <c r="Q25" s="6" t="inlineStr"/>
      <c r="R25" s="4" t="inlineStr"/>
      <c r="S25" s="4" t="inlineStr"/>
      <c r="T25" s="4" t="inlineStr"/>
      <c r="U25" s="5" t="inlineStr"/>
      <c r="V25" s="6" t="inlineStr"/>
    </row>
    <row r="26" ht="40" customHeight="1">
      <c r="A26" s="7" t="inlineStr">
        <is>
          <t>1A-22</t>
        </is>
      </c>
      <c r="B26" s="8" t="inlineStr">
        <is>
          <t>Phase 1A</t>
        </is>
      </c>
      <c r="C26" s="8" t="inlineStr">
        <is>
          <t>Phase 1A</t>
        </is>
      </c>
      <c r="D26" s="7" t="inlineStr">
        <is>
          <t>Quote status decides Deal stage</t>
        </is>
      </c>
      <c r="E26" s="8" t="inlineStr">
        <is>
          <t>P1</t>
        </is>
      </c>
      <c r="F26" s="8" t="inlineStr">
        <is>
          <t>Automated</t>
        </is>
      </c>
      <c r="G26" s="9" t="inlineStr">
        <is>
          <t>A Deal with one template quote only.</t>
        </is>
      </c>
      <c r="H26" s="9" t="inlineStr">
        <is>
          <t>Inspect the Deal stage.</t>
        </is>
      </c>
      <c r="I26" s="9" t="inlineStr">
        <is>
          <t>The template quote is ignored entirely. The Deal reads Qualified and the template does not appear in the Deal's quote count.</t>
        </is>
      </c>
      <c r="J26" s="9" t="inlineStr">
        <is>
          <t>AC-DEAL-04</t>
        </is>
      </c>
      <c r="K26" s="8" t="inlineStr">
        <is>
          <t>Not run</t>
        </is>
      </c>
      <c r="L26" s="9" t="inlineStr"/>
      <c r="M26" s="8" t="inlineStr"/>
      <c r="N26" s="7" t="inlineStr"/>
      <c r="O26" s="7" t="inlineStr"/>
      <c r="P26" s="7" t="inlineStr"/>
      <c r="Q26" s="9" t="inlineStr"/>
      <c r="R26" s="7" t="inlineStr"/>
      <c r="S26" s="7" t="inlineStr"/>
      <c r="T26" s="7" t="inlineStr"/>
      <c r="U26" s="8" t="inlineStr"/>
      <c r="V26" s="9" t="inlineStr"/>
    </row>
    <row r="27" ht="40" customHeight="1">
      <c r="A27" s="4" t="inlineStr">
        <is>
          <t>1A-23</t>
        </is>
      </c>
      <c r="B27" s="5" t="inlineStr">
        <is>
          <t>Phase 1A</t>
        </is>
      </c>
      <c r="C27" s="5" t="inlineStr">
        <is>
          <t>Phase 1A</t>
        </is>
      </c>
      <c r="D27" s="4" t="inlineStr">
        <is>
          <t>Quote status decides Deal stage</t>
        </is>
      </c>
      <c r="E27" s="5" t="inlineStr">
        <is>
          <t>P1</t>
        </is>
      </c>
      <c r="F27" s="5" t="inlineStr">
        <is>
          <t>Automated</t>
        </is>
      </c>
      <c r="G27" s="6" t="inlineStr">
        <is>
          <t>A Deal with one archived quote only.</t>
        </is>
      </c>
      <c r="H27" s="6" t="inlineStr">
        <is>
          <t>Inspect the Deal stage.</t>
        </is>
      </c>
      <c r="I27" s="6" t="inlineStr">
        <is>
          <t>The archived quote is ignored entirely. The Deal reads Qualified and the archived quote does not appear in the Deal's quote count.</t>
        </is>
      </c>
      <c r="J27" s="6" t="inlineStr">
        <is>
          <t>AC-DEAL-04</t>
        </is>
      </c>
      <c r="K27" s="5" t="inlineStr">
        <is>
          <t>Not run</t>
        </is>
      </c>
      <c r="L27" s="6" t="inlineStr"/>
      <c r="M27" s="5" t="inlineStr"/>
      <c r="N27" s="4" t="inlineStr"/>
      <c r="O27" s="4" t="inlineStr"/>
      <c r="P27" s="4" t="inlineStr"/>
      <c r="Q27" s="6" t="inlineStr"/>
      <c r="R27" s="4" t="inlineStr"/>
      <c r="S27" s="4" t="inlineStr"/>
      <c r="T27" s="4" t="inlineStr"/>
      <c r="U27" s="5" t="inlineStr"/>
      <c r="V27" s="6" t="inlineStr"/>
    </row>
    <row r="28" ht="40" customHeight="1">
      <c r="A28" s="7" t="inlineStr">
        <is>
          <t>1A-24</t>
        </is>
      </c>
      <c r="B28" s="8" t="inlineStr">
        <is>
          <t>Phase 1A</t>
        </is>
      </c>
      <c r="C28" s="8" t="inlineStr">
        <is>
          <t>Phase 1A</t>
        </is>
      </c>
      <c r="D28" s="7" t="inlineStr">
        <is>
          <t>Quote status decides Deal stage</t>
        </is>
      </c>
      <c r="E28" s="8" t="inlineStr">
        <is>
          <t>P1</t>
        </is>
      </c>
      <c r="F28" s="8" t="inlineStr">
        <is>
          <t>Automated</t>
        </is>
      </c>
      <c r="G28" s="9" t="inlineStr">
        <is>
          <t>Latest revision is NOT the active one.</t>
        </is>
      </c>
      <c r="H28" s="9" t="inlineStr">
        <is>
          <t>Inspect the Deal stage.</t>
        </is>
      </c>
      <c r="I28" s="9" t="inlineStr">
        <is>
          <t>No stage derives from it. Only latest AND active counts.</t>
        </is>
      </c>
      <c r="J28" s="9" t="inlineStr">
        <is>
          <t>AC-DEAL-05</t>
        </is>
      </c>
      <c r="K28" s="8" t="inlineStr">
        <is>
          <t>Not run</t>
        </is>
      </c>
      <c r="L28" s="9" t="inlineStr"/>
      <c r="M28" s="8" t="inlineStr"/>
      <c r="N28" s="7" t="inlineStr"/>
      <c r="O28" s="7" t="inlineStr"/>
      <c r="P28" s="7" t="inlineStr"/>
      <c r="Q28" s="9" t="inlineStr"/>
      <c r="R28" s="7" t="inlineStr"/>
      <c r="S28" s="7" t="inlineStr"/>
      <c r="T28" s="7" t="inlineStr"/>
      <c r="U28" s="8" t="inlineStr"/>
      <c r="V28" s="9" t="inlineStr"/>
    </row>
    <row r="29" ht="40" customHeight="1">
      <c r="A29" s="4" t="inlineStr">
        <is>
          <t>1A-25</t>
        </is>
      </c>
      <c r="B29" s="5" t="inlineStr">
        <is>
          <t>Phase 1A</t>
        </is>
      </c>
      <c r="C29" s="5" t="inlineStr">
        <is>
          <t>Phase 1A</t>
        </is>
      </c>
      <c r="D29" s="4" t="inlineStr">
        <is>
          <t>Quote status decides Deal stage</t>
        </is>
      </c>
      <c r="E29" s="5" t="inlineStr">
        <is>
          <t>P1</t>
        </is>
      </c>
      <c r="F29" s="5" t="inlineStr">
        <is>
          <t>Automated</t>
        </is>
      </c>
      <c r="G29" s="6" t="inlineStr">
        <is>
          <t>Active revision is not the latest.</t>
        </is>
      </c>
      <c r="H29" s="6" t="inlineStr">
        <is>
          <t>Inspect the Deal stage.</t>
        </is>
      </c>
      <c r="I29" s="6" t="inlineStr">
        <is>
          <t>Neither revision qualifies, so the family contributes nothing. The Deal reads whatever the other families produce, or Qualified if there are none.</t>
        </is>
      </c>
      <c r="J29" s="6" t="inlineStr">
        <is>
          <t>AC-DEAL-05</t>
        </is>
      </c>
      <c r="K29" s="5" t="inlineStr">
        <is>
          <t>Not run</t>
        </is>
      </c>
      <c r="L29" s="6" t="inlineStr"/>
      <c r="M29" s="5" t="inlineStr"/>
      <c r="N29" s="4" t="inlineStr"/>
      <c r="O29" s="4" t="inlineStr"/>
      <c r="P29" s="4" t="inlineStr"/>
      <c r="Q29" s="6" t="inlineStr"/>
      <c r="R29" s="4" t="inlineStr"/>
      <c r="S29" s="4" t="inlineStr"/>
      <c r="T29" s="4" t="inlineStr"/>
      <c r="U29" s="5" t="inlineStr"/>
      <c r="V29" s="6" t="inlineStr"/>
    </row>
    <row r="30" ht="40" customHeight="1">
      <c r="A30" s="7" t="inlineStr">
        <is>
          <t>1A-26</t>
        </is>
      </c>
      <c r="B30" s="8" t="inlineStr">
        <is>
          <t>Phase 1A</t>
        </is>
      </c>
      <c r="C30" s="8" t="inlineStr">
        <is>
          <t>Phase 1A</t>
        </is>
      </c>
      <c r="D30" s="7" t="inlineStr">
        <is>
          <t>Quote status decides Deal stage</t>
        </is>
      </c>
      <c r="E30" s="8" t="inlineStr">
        <is>
          <t>P1</t>
        </is>
      </c>
      <c r="F30" s="8" t="inlineStr">
        <is>
          <t>Automated</t>
        </is>
      </c>
      <c r="G30" s="9" t="inlineStr">
        <is>
          <t>A sent quote and a draft quote. D1 answered yes.</t>
        </is>
      </c>
      <c r="H30" s="9" t="inlineStr">
        <is>
          <t>Let the sent quote expire.</t>
        </is>
      </c>
      <c r="I30" s="9" t="inlineStr">
        <is>
          <t>The Deal steps back to In Progress and the reason is written to history.</t>
        </is>
      </c>
      <c r="J30" s="9" t="inlineStr">
        <is>
          <t>FR-24 (cond. D1)</t>
        </is>
      </c>
      <c r="K30" s="8" t="inlineStr">
        <is>
          <t>Not run</t>
        </is>
      </c>
      <c r="L30" s="9" t="inlineStr"/>
      <c r="M30" s="8" t="inlineStr"/>
      <c r="N30" s="7" t="inlineStr"/>
      <c r="O30" s="7" t="inlineStr"/>
      <c r="P30" s="7" t="inlineStr"/>
      <c r="Q30" s="9" t="inlineStr"/>
      <c r="R30" s="7" t="inlineStr"/>
      <c r="S30" s="7" t="inlineStr"/>
      <c r="T30" s="7" t="inlineStr"/>
      <c r="U30" s="8" t="inlineStr"/>
      <c r="V30" s="9" t="inlineStr"/>
    </row>
    <row r="31" ht="40" customHeight="1">
      <c r="A31" s="4" t="inlineStr">
        <is>
          <t>1A-27</t>
        </is>
      </c>
      <c r="B31" s="5" t="inlineStr">
        <is>
          <t>Phase 1A</t>
        </is>
      </c>
      <c r="C31" s="5" t="inlineStr">
        <is>
          <t>Phase 1A</t>
        </is>
      </c>
      <c r="D31" s="4" t="inlineStr">
        <is>
          <t>Quote status decides Deal stage</t>
        </is>
      </c>
      <c r="E31" s="5" t="inlineStr">
        <is>
          <t>P2</t>
        </is>
      </c>
      <c r="F31" s="5" t="inlineStr">
        <is>
          <t>Manual</t>
        </is>
      </c>
      <c r="G31" s="6" t="inlineStr">
        <is>
          <t>A Won Deal with an accepted quote.</t>
        </is>
      </c>
      <c r="H31" s="6" t="inlineStr">
        <is>
          <t>Cancel or reopen the accepted quote.</t>
        </is>
      </c>
      <c r="I31" s="6" t="inlineStr">
        <is>
          <t>Behaviour matches the final D1 ruling; the outcome is recorded either way.</t>
        </is>
      </c>
      <c r="J31" s="6" t="inlineStr">
        <is>
          <t>D1</t>
        </is>
      </c>
      <c r="K31" s="5" t="inlineStr">
        <is>
          <t>Not run</t>
        </is>
      </c>
      <c r="L31" s="6" t="inlineStr"/>
      <c r="M31" s="5" t="inlineStr"/>
      <c r="N31" s="4" t="inlineStr"/>
      <c r="O31" s="4" t="inlineStr"/>
      <c r="P31" s="4" t="inlineStr"/>
      <c r="Q31" s="6" t="inlineStr"/>
      <c r="R31" s="4" t="inlineStr"/>
      <c r="S31" s="4" t="inlineStr"/>
      <c r="T31" s="4" t="inlineStr"/>
      <c r="U31" s="5" t="inlineStr"/>
      <c r="V31" s="6" t="inlineStr"/>
    </row>
    <row r="32" ht="40" customHeight="1">
      <c r="A32" s="7" t="inlineStr">
        <is>
          <t>1A-28</t>
        </is>
      </c>
      <c r="B32" s="8" t="inlineStr">
        <is>
          <t>Phase 1A</t>
        </is>
      </c>
      <c r="C32" s="8" t="inlineStr">
        <is>
          <t>Phase 1A</t>
        </is>
      </c>
      <c r="D32" s="7" t="inlineStr">
        <is>
          <t>Quote status decides Deal stage</t>
        </is>
      </c>
      <c r="E32" s="8" t="inlineStr">
        <is>
          <t>P2</t>
        </is>
      </c>
      <c r="F32" s="8" t="inlineStr">
        <is>
          <t>Manual</t>
        </is>
      </c>
      <c r="G32" s="9" t="inlineStr">
        <is>
          <t>A Deal with an over-quota quote.</t>
        </is>
      </c>
      <c r="H32" s="9" t="inlineStr">
        <is>
          <t>Inspect the Deal stage.</t>
        </is>
      </c>
      <c r="I32" s="9" t="inlineStr">
        <is>
          <t>Behaviour matches the recorded D5 ruling, and whichever way it is ruled the Deal's stage and its quote count agree with each other.</t>
        </is>
      </c>
      <c r="J32" s="9" t="inlineStr">
        <is>
          <t>D5</t>
        </is>
      </c>
      <c r="K32" s="8" t="inlineStr">
        <is>
          <t>Not run</t>
        </is>
      </c>
      <c r="L32" s="9" t="inlineStr"/>
      <c r="M32" s="8" t="inlineStr"/>
      <c r="N32" s="7" t="inlineStr"/>
      <c r="O32" s="7" t="inlineStr"/>
      <c r="P32" s="7" t="inlineStr"/>
      <c r="Q32" s="9" t="inlineStr"/>
      <c r="R32" s="7" t="inlineStr"/>
      <c r="S32" s="7" t="inlineStr"/>
      <c r="T32" s="7" t="inlineStr"/>
      <c r="U32" s="8" t="inlineStr"/>
      <c r="V32" s="9" t="inlineStr"/>
    </row>
    <row r="33" ht="40" customHeight="1">
      <c r="A33" s="4" t="inlineStr">
        <is>
          <t>1A-29</t>
        </is>
      </c>
      <c r="B33" s="5" t="inlineStr">
        <is>
          <t>Phase 1A</t>
        </is>
      </c>
      <c r="C33" s="5" t="inlineStr">
        <is>
          <t>Phase 1A</t>
        </is>
      </c>
      <c r="D33" s="4" t="inlineStr">
        <is>
          <t>Quote status decides Deal stage</t>
        </is>
      </c>
      <c r="E33" s="5" t="inlineStr">
        <is>
          <t>P2</t>
        </is>
      </c>
      <c r="F33" s="5" t="inlineStr">
        <is>
          <t>Manual</t>
        </is>
      </c>
      <c r="G33" s="6" t="inlineStr">
        <is>
          <t>A Deal with a sales order.</t>
        </is>
      </c>
      <c r="H33" s="6" t="inlineStr">
        <is>
          <t>Inspect the Deal stage.</t>
        </is>
      </c>
      <c r="I33" s="6" t="inlineStr">
        <is>
          <t>Behaviour matches the recorded D5 ruling, and whichever way it is ruled the Deal's stage and its quote count agree with each other.</t>
        </is>
      </c>
      <c r="J33" s="6" t="inlineStr">
        <is>
          <t>D5</t>
        </is>
      </c>
      <c r="K33" s="5" t="inlineStr">
        <is>
          <t>Not run</t>
        </is>
      </c>
      <c r="L33" s="6" t="inlineStr"/>
      <c r="M33" s="5" t="inlineStr"/>
      <c r="N33" s="4" t="inlineStr"/>
      <c r="O33" s="4" t="inlineStr"/>
      <c r="P33" s="4" t="inlineStr"/>
      <c r="Q33" s="6" t="inlineStr"/>
      <c r="R33" s="4" t="inlineStr"/>
      <c r="S33" s="4" t="inlineStr"/>
      <c r="T33" s="4" t="inlineStr"/>
      <c r="U33" s="5" t="inlineStr"/>
      <c r="V33" s="6" t="inlineStr"/>
    </row>
    <row r="34" ht="40" customHeight="1">
      <c r="A34" s="7" t="inlineStr">
        <is>
          <t>1A-30</t>
        </is>
      </c>
      <c r="B34" s="8" t="inlineStr">
        <is>
          <t>Phase 1A</t>
        </is>
      </c>
      <c r="C34" s="8" t="inlineStr">
        <is>
          <t>Phase 1A</t>
        </is>
      </c>
      <c r="D34" s="7" t="inlineStr">
        <is>
          <t>Engagement</t>
        </is>
      </c>
      <c r="E34" s="8" t="inlineStr">
        <is>
          <t>P1</t>
        </is>
      </c>
      <c r="F34" s="8" t="inlineStr">
        <is>
          <t>Automated</t>
        </is>
      </c>
      <c r="G34" s="9" t="inlineStr">
        <is>
          <t>Q1 sent and viewed, Q2 draft.</t>
        </is>
      </c>
      <c r="H34" s="9" t="inlineStr">
        <is>
          <t>Read the viewed count.</t>
        </is>
      </c>
      <c r="I34" s="9" t="inlineStr">
        <is>
          <t>The Deal card reads '1 of 1 sent quotes viewed'. The draft is excluded from the count on the right.</t>
        </is>
      </c>
      <c r="J34" s="9" t="inlineStr">
        <is>
          <t>AC-DEAL-03</t>
        </is>
      </c>
      <c r="K34" s="8" t="inlineStr">
        <is>
          <t>Not run</t>
        </is>
      </c>
      <c r="L34" s="9" t="inlineStr"/>
      <c r="M34" s="8" t="inlineStr"/>
      <c r="N34" s="7" t="inlineStr"/>
      <c r="O34" s="7" t="inlineStr"/>
      <c r="P34" s="7" t="inlineStr"/>
      <c r="Q34" s="9" t="inlineStr"/>
      <c r="R34" s="7" t="inlineStr"/>
      <c r="S34" s="7" t="inlineStr"/>
      <c r="T34" s="7" t="inlineStr"/>
      <c r="U34" s="8" t="inlineStr"/>
      <c r="V34" s="9" t="inlineStr"/>
    </row>
    <row r="35" ht="40" customHeight="1">
      <c r="A35" s="4" t="inlineStr">
        <is>
          <t>1A-31</t>
        </is>
      </c>
      <c r="B35" s="5" t="inlineStr">
        <is>
          <t>Phase 1A</t>
        </is>
      </c>
      <c r="C35" s="5" t="inlineStr">
        <is>
          <t>Phase 1A</t>
        </is>
      </c>
      <c r="D35" s="4" t="inlineStr">
        <is>
          <t>Engagement</t>
        </is>
      </c>
      <c r="E35" s="5" t="inlineStr">
        <is>
          <t>P1</t>
        </is>
      </c>
      <c r="F35" s="5" t="inlineStr">
        <is>
          <t>Automated</t>
        </is>
      </c>
      <c r="G35" s="6" t="inlineStr">
        <is>
          <t>Q1 sent viewed, Q2 sent not viewed, Q3 sent viewed.</t>
        </is>
      </c>
      <c r="H35" s="6" t="inlineStr">
        <is>
          <t>Read the viewed count.</t>
        </is>
      </c>
      <c r="I35" s="6" t="inlineStr">
        <is>
          <t>The Deal card reads '2 of 3 sent quotes viewed'.</t>
        </is>
      </c>
      <c r="J35" s="6" t="inlineStr">
        <is>
          <t>AC-DEAL-03</t>
        </is>
      </c>
      <c r="K35" s="5" t="inlineStr">
        <is>
          <t>Not run</t>
        </is>
      </c>
      <c r="L35" s="6" t="inlineStr"/>
      <c r="M35" s="5" t="inlineStr"/>
      <c r="N35" s="4" t="inlineStr"/>
      <c r="O35" s="4" t="inlineStr"/>
      <c r="P35" s="4" t="inlineStr"/>
      <c r="Q35" s="6" t="inlineStr"/>
      <c r="R35" s="4" t="inlineStr"/>
      <c r="S35" s="4" t="inlineStr"/>
      <c r="T35" s="4" t="inlineStr"/>
      <c r="U35" s="5" t="inlineStr"/>
      <c r="V35" s="6" t="inlineStr"/>
    </row>
    <row r="36" ht="40" customHeight="1">
      <c r="A36" s="7" t="inlineStr">
        <is>
          <t>1A-32</t>
        </is>
      </c>
      <c r="B36" s="8" t="inlineStr">
        <is>
          <t>Phase 1A</t>
        </is>
      </c>
      <c r="C36" s="8" t="inlineStr">
        <is>
          <t>Phase 1A</t>
        </is>
      </c>
      <c r="D36" s="7" t="inlineStr">
        <is>
          <t>Engagement</t>
        </is>
      </c>
      <c r="E36" s="8" t="inlineStr">
        <is>
          <t>P1</t>
        </is>
      </c>
      <c r="F36" s="8" t="inlineStr">
        <is>
          <t>Automated</t>
        </is>
      </c>
      <c r="G36" s="9" t="inlineStr">
        <is>
          <t>Q1 expired, Q2 sent not viewed.</t>
        </is>
      </c>
      <c r="H36" s="9" t="inlineStr">
        <is>
          <t>Read the viewed count.</t>
        </is>
      </c>
      <c r="I36" s="9" t="inlineStr">
        <is>
          <t>The Deal card reads '0 of 1 sent quotes viewed'. The expired quote is excluded from the count on the right.</t>
        </is>
      </c>
      <c r="J36" s="9" t="inlineStr">
        <is>
          <t>AC-DEAL-03</t>
        </is>
      </c>
      <c r="K36" s="8" t="inlineStr">
        <is>
          <t>Not run</t>
        </is>
      </c>
      <c r="L36" s="9" t="inlineStr"/>
      <c r="M36" s="8" t="inlineStr"/>
      <c r="N36" s="7" t="inlineStr"/>
      <c r="O36" s="7" t="inlineStr"/>
      <c r="P36" s="7" t="inlineStr"/>
      <c r="Q36" s="9" t="inlineStr"/>
      <c r="R36" s="7" t="inlineStr"/>
      <c r="S36" s="7" t="inlineStr"/>
      <c r="T36" s="7" t="inlineStr"/>
      <c r="U36" s="8" t="inlineStr"/>
      <c r="V36" s="9" t="inlineStr"/>
    </row>
    <row r="37" ht="40" customHeight="1">
      <c r="A37" s="4" t="inlineStr">
        <is>
          <t>1A-33</t>
        </is>
      </c>
      <c r="B37" s="5" t="inlineStr">
        <is>
          <t>Phase 1A</t>
        </is>
      </c>
      <c r="C37" s="5" t="inlineStr">
        <is>
          <t>Phase 1A</t>
        </is>
      </c>
      <c r="D37" s="4" t="inlineStr">
        <is>
          <t>Engagement</t>
        </is>
      </c>
      <c r="E37" s="5" t="inlineStr">
        <is>
          <t>P1</t>
        </is>
      </c>
      <c r="F37" s="5" t="inlineStr">
        <is>
          <t>Automated</t>
        </is>
      </c>
      <c r="G37" s="6" t="inlineStr">
        <is>
          <t>A signed change order on a sent quote.</t>
        </is>
      </c>
      <c r="H37" s="6" t="inlineStr">
        <is>
          <t>Read the viewed count.</t>
        </is>
      </c>
      <c r="I37" s="6" t="inlineStr">
        <is>
          <t>The change order appears in neither number. Only client-facing quotes are counted.</t>
        </is>
      </c>
      <c r="J37" s="6" t="inlineStr">
        <is>
          <t>FR-32</t>
        </is>
      </c>
      <c r="K37" s="5" t="inlineStr">
        <is>
          <t>Not run</t>
        </is>
      </c>
      <c r="L37" s="6" t="inlineStr"/>
      <c r="M37" s="5" t="inlineStr"/>
      <c r="N37" s="4" t="inlineStr"/>
      <c r="O37" s="4" t="inlineStr"/>
      <c r="P37" s="4" t="inlineStr"/>
      <c r="Q37" s="6" t="inlineStr"/>
      <c r="R37" s="4" t="inlineStr"/>
      <c r="S37" s="4" t="inlineStr"/>
      <c r="T37" s="4" t="inlineStr"/>
      <c r="U37" s="5" t="inlineStr"/>
      <c r="V37" s="6" t="inlineStr"/>
    </row>
    <row r="38" ht="40" customHeight="1">
      <c r="A38" s="7" t="inlineStr">
        <is>
          <t>1A-34</t>
        </is>
      </c>
      <c r="B38" s="8" t="inlineStr">
        <is>
          <t>Phase 1A</t>
        </is>
      </c>
      <c r="C38" s="8" t="inlineStr">
        <is>
          <t>Phase 1A</t>
        </is>
      </c>
      <c r="D38" s="7" t="inlineStr">
        <is>
          <t>Alternatives</t>
        </is>
      </c>
      <c r="E38" s="8" t="inlineStr">
        <is>
          <t>P1</t>
        </is>
      </c>
      <c r="F38" s="8" t="inlineStr">
        <is>
          <t>Automated</t>
        </is>
      </c>
      <c r="G38" s="9" t="inlineStr">
        <is>
          <t>Two ungrouped quotes on one Deal.</t>
        </is>
      </c>
      <c r="H38" s="9" t="inlineStr">
        <is>
          <t>Inspect the Deal value.</t>
        </is>
      </c>
      <c r="I38" s="9" t="inlineStr">
        <is>
          <t>Both quotes contribute to the Deal value, and the total equals their sum.</t>
        </is>
      </c>
      <c r="J38" s="9" t="inlineStr">
        <is>
          <t>AC-DEAL-08</t>
        </is>
      </c>
      <c r="K38" s="8" t="inlineStr">
        <is>
          <t>Not run</t>
        </is>
      </c>
      <c r="L38" s="9" t="inlineStr"/>
      <c r="M38" s="8" t="inlineStr"/>
      <c r="N38" s="7" t="inlineStr"/>
      <c r="O38" s="7" t="inlineStr"/>
      <c r="P38" s="7" t="inlineStr"/>
      <c r="Q38" s="9" t="inlineStr"/>
      <c r="R38" s="7" t="inlineStr"/>
      <c r="S38" s="7" t="inlineStr"/>
      <c r="T38" s="7" t="inlineStr"/>
      <c r="U38" s="8" t="inlineStr"/>
      <c r="V38" s="9" t="inlineStr"/>
    </row>
    <row r="39" ht="40" customHeight="1">
      <c r="A39" s="4" t="inlineStr">
        <is>
          <t>1A-35</t>
        </is>
      </c>
      <c r="B39" s="5" t="inlineStr">
        <is>
          <t>Phase 1A</t>
        </is>
      </c>
      <c r="C39" s="5" t="inlineStr">
        <is>
          <t>Phase 1A</t>
        </is>
      </c>
      <c r="D39" s="4" t="inlineStr">
        <is>
          <t>Alternatives</t>
        </is>
      </c>
      <c r="E39" s="5" t="inlineStr">
        <is>
          <t>P1</t>
        </is>
      </c>
      <c r="F39" s="5" t="inlineStr">
        <is>
          <t>Automated</t>
        </is>
      </c>
      <c r="G39" s="6" t="inlineStr">
        <is>
          <t>Two quotes in one alternative group.</t>
        </is>
      </c>
      <c r="H39" s="6" t="inlineStr">
        <is>
          <t>Accept one.</t>
        </is>
      </c>
      <c r="I39" s="6" t="inlineStr">
        <is>
          <t>The sibling is system-rejected, removed from value, still in the audit trail.</t>
        </is>
      </c>
      <c r="J39" s="6" t="inlineStr">
        <is>
          <t>AC-DEAL-07</t>
        </is>
      </c>
      <c r="K39" s="5" t="inlineStr">
        <is>
          <t>Not run</t>
        </is>
      </c>
      <c r="L39" s="6" t="inlineStr"/>
      <c r="M39" s="5" t="inlineStr"/>
      <c r="N39" s="4" t="inlineStr"/>
      <c r="O39" s="4" t="inlineStr"/>
      <c r="P39" s="4" t="inlineStr"/>
      <c r="Q39" s="6" t="inlineStr"/>
      <c r="R39" s="4" t="inlineStr"/>
      <c r="S39" s="4" t="inlineStr"/>
      <c r="T39" s="4" t="inlineStr"/>
      <c r="U39" s="5" t="inlineStr"/>
      <c r="V39" s="6" t="inlineStr"/>
    </row>
    <row r="40" ht="40" customHeight="1">
      <c r="A40" s="7" t="inlineStr">
        <is>
          <t>1A-36</t>
        </is>
      </c>
      <c r="B40" s="8" t="inlineStr">
        <is>
          <t>Phase 1A</t>
        </is>
      </c>
      <c r="C40" s="8" t="inlineStr">
        <is>
          <t>Phase 1A</t>
        </is>
      </c>
      <c r="D40" s="7" t="inlineStr">
        <is>
          <t>Alternatives</t>
        </is>
      </c>
      <c r="E40" s="8" t="inlineStr">
        <is>
          <t>P1</t>
        </is>
      </c>
      <c r="F40" s="8" t="inlineStr">
        <is>
          <t>Manual</t>
        </is>
      </c>
      <c r="G40" s="9" t="inlineStr">
        <is>
          <t>A quote already accepted inside a group.</t>
        </is>
      </c>
      <c r="H40" s="9" t="inlineStr">
        <is>
          <t>Try to move it out of the group.</t>
        </is>
      </c>
      <c r="I40" s="9" t="inlineStr">
        <is>
          <t>The move is refused, with a message explaining that a resolved quote cannot be regrouped. The group membership is unchanged.</t>
        </is>
      </c>
      <c r="J40" s="9" t="inlineStr">
        <is>
          <t>FR-30</t>
        </is>
      </c>
      <c r="K40" s="8" t="inlineStr">
        <is>
          <t>Not run</t>
        </is>
      </c>
      <c r="L40" s="9" t="inlineStr"/>
      <c r="M40" s="8" t="inlineStr"/>
      <c r="N40" s="7" t="inlineStr"/>
      <c r="O40" s="7" t="inlineStr"/>
      <c r="P40" s="7" t="inlineStr"/>
      <c r="Q40" s="9" t="inlineStr"/>
      <c r="R40" s="7" t="inlineStr"/>
      <c r="S40" s="7" t="inlineStr"/>
      <c r="T40" s="7" t="inlineStr"/>
      <c r="U40" s="8" t="inlineStr"/>
      <c r="V40" s="9" t="inlineStr"/>
    </row>
    <row r="41" ht="40" customHeight="1">
      <c r="A41" s="4" t="inlineStr">
        <is>
          <t>1A-37</t>
        </is>
      </c>
      <c r="B41" s="5" t="inlineStr">
        <is>
          <t>Phase 1A</t>
        </is>
      </c>
      <c r="C41" s="5" t="inlineStr">
        <is>
          <t>Phase 1A</t>
        </is>
      </c>
      <c r="D41" s="4" t="inlineStr">
        <is>
          <t>Alternatives</t>
        </is>
      </c>
      <c r="E41" s="5" t="inlineStr">
        <is>
          <t>P1</t>
        </is>
      </c>
      <c r="F41" s="5" t="inlineStr">
        <is>
          <t>Automated</t>
        </is>
      </c>
      <c r="G41" s="6" t="inlineStr">
        <is>
          <t>Two groups, one accepted quote in each.</t>
        </is>
      </c>
      <c r="H41" s="6" t="inlineStr">
        <is>
          <t>Inspect the Deal value.</t>
        </is>
      </c>
      <c r="I41" s="6" t="inlineStr">
        <is>
          <t>The Deal value equals the sum of the two accepted amounts. Neither group's rejected siblings contribute.</t>
        </is>
      </c>
      <c r="J41" s="6" t="inlineStr">
        <is>
          <t>AC-DEAL-08</t>
        </is>
      </c>
      <c r="K41" s="5" t="inlineStr">
        <is>
          <t>Not run</t>
        </is>
      </c>
      <c r="L41" s="6" t="inlineStr"/>
      <c r="M41" s="5" t="inlineStr"/>
      <c r="N41" s="4" t="inlineStr"/>
      <c r="O41" s="4" t="inlineStr"/>
      <c r="P41" s="4" t="inlineStr"/>
      <c r="Q41" s="6" t="inlineStr"/>
      <c r="R41" s="4" t="inlineStr"/>
      <c r="S41" s="4" t="inlineStr"/>
      <c r="T41" s="4" t="inlineStr"/>
      <c r="U41" s="5" t="inlineStr"/>
      <c r="V41" s="6" t="inlineStr"/>
    </row>
    <row r="42" ht="40" customHeight="1">
      <c r="A42" s="7" t="inlineStr">
        <is>
          <t>1A-38</t>
        </is>
      </c>
      <c r="B42" s="8" t="inlineStr">
        <is>
          <t>Phase 1A</t>
        </is>
      </c>
      <c r="C42" s="8" t="inlineStr">
        <is>
          <t>Phase 1A</t>
        </is>
      </c>
      <c r="D42" s="7" t="inlineStr">
        <is>
          <t>Change order</t>
        </is>
      </c>
      <c r="E42" s="8" t="inlineStr">
        <is>
          <t>P1</t>
        </is>
      </c>
      <c r="F42" s="8" t="inlineStr">
        <is>
          <t>Manual</t>
        </is>
      </c>
      <c r="G42" s="9" t="inlineStr">
        <is>
          <t>A quote with an accepted revision.</t>
        </is>
      </c>
      <c r="H42" s="9" t="inlineStr">
        <is>
          <t>Raise a change order.</t>
        </is>
      </c>
      <c r="I42" s="9" t="inlineStr">
        <is>
          <t>Raised against the accepted revision, which is the signed baseline.</t>
        </is>
      </c>
      <c r="J42" s="9" t="inlineStr">
        <is>
          <t>A7</t>
        </is>
      </c>
      <c r="K42" s="8" t="inlineStr">
        <is>
          <t>Not run</t>
        </is>
      </c>
      <c r="L42" s="9" t="inlineStr"/>
      <c r="M42" s="8" t="inlineStr"/>
      <c r="N42" s="7" t="inlineStr"/>
      <c r="O42" s="7" t="inlineStr"/>
      <c r="P42" s="7" t="inlineStr"/>
      <c r="Q42" s="9" t="inlineStr"/>
      <c r="R42" s="7" t="inlineStr"/>
      <c r="S42" s="7" t="inlineStr"/>
      <c r="T42" s="7" t="inlineStr"/>
      <c r="U42" s="8" t="inlineStr"/>
      <c r="V42" s="9" t="inlineStr"/>
    </row>
    <row r="43" ht="40" customHeight="1">
      <c r="A43" s="4" t="inlineStr">
        <is>
          <t>1A-39</t>
        </is>
      </c>
      <c r="B43" s="5" t="inlineStr">
        <is>
          <t>Phase 1A</t>
        </is>
      </c>
      <c r="C43" s="5" t="inlineStr">
        <is>
          <t>Phase 1A</t>
        </is>
      </c>
      <c r="D43" s="4" t="inlineStr">
        <is>
          <t>Change order</t>
        </is>
      </c>
      <c r="E43" s="5" t="inlineStr">
        <is>
          <t>P1</t>
        </is>
      </c>
      <c r="F43" s="5" t="inlineStr">
        <is>
          <t>Manual</t>
        </is>
      </c>
      <c r="G43" s="6" t="inlineStr">
        <is>
          <t>A change order is with the client.</t>
        </is>
      </c>
      <c r="H43" s="6" t="inlineStr">
        <is>
          <t>Raise a second one on the same quote.</t>
        </is>
      </c>
      <c r="I43" s="6" t="inlineStr">
        <is>
          <t>Raising is refused. A message explains that one change order is already with the client, and names it. The existing one is untouched.</t>
        </is>
      </c>
      <c r="J43" s="6" t="inlineStr">
        <is>
          <t>FR-31 / AC-DEAL-09</t>
        </is>
      </c>
      <c r="K43" s="5" t="inlineStr">
        <is>
          <t>Not run</t>
        </is>
      </c>
      <c r="L43" s="6" t="inlineStr"/>
      <c r="M43" s="5" t="inlineStr"/>
      <c r="N43" s="4" t="inlineStr"/>
      <c r="O43" s="4" t="inlineStr"/>
      <c r="P43" s="4" t="inlineStr"/>
      <c r="Q43" s="6" t="inlineStr"/>
      <c r="R43" s="4" t="inlineStr"/>
      <c r="S43" s="4" t="inlineStr"/>
      <c r="T43" s="4" t="inlineStr"/>
      <c r="U43" s="5" t="inlineStr"/>
      <c r="V43" s="6" t="inlineStr"/>
    </row>
    <row r="44" ht="40" customHeight="1">
      <c r="A44" s="7" t="inlineStr">
        <is>
          <t>1A-40</t>
        </is>
      </c>
      <c r="B44" s="8" t="inlineStr">
        <is>
          <t>Phase 1A</t>
        </is>
      </c>
      <c r="C44" s="8" t="inlineStr">
        <is>
          <t>Phase 1A</t>
        </is>
      </c>
      <c r="D44" s="7" t="inlineStr">
        <is>
          <t>Change order</t>
        </is>
      </c>
      <c r="E44" s="8" t="inlineStr">
        <is>
          <t>P1</t>
        </is>
      </c>
      <c r="F44" s="8" t="inlineStr">
        <is>
          <t>Automated</t>
        </is>
      </c>
      <c r="G44" s="9" t="inlineStr">
        <is>
          <t>A change order with the client.</t>
        </is>
      </c>
      <c r="H44" s="9" t="inlineStr">
        <is>
          <t>Client signs it.</t>
        </is>
      </c>
      <c r="I44" s="9" t="inlineStr">
        <is>
          <t>It becomes the new signed baseline; its difference is added to the signed value.</t>
        </is>
      </c>
      <c r="J44" s="9" t="inlineStr">
        <is>
          <t>FR-31 / AC-DEAL-10</t>
        </is>
      </c>
      <c r="K44" s="8" t="inlineStr">
        <is>
          <t>Not run</t>
        </is>
      </c>
      <c r="L44" s="9" t="inlineStr"/>
      <c r="M44" s="8" t="inlineStr"/>
      <c r="N44" s="7" t="inlineStr"/>
      <c r="O44" s="7" t="inlineStr"/>
      <c r="P44" s="7" t="inlineStr"/>
      <c r="Q44" s="9" t="inlineStr"/>
      <c r="R44" s="7" t="inlineStr"/>
      <c r="S44" s="7" t="inlineStr"/>
      <c r="T44" s="7" t="inlineStr"/>
      <c r="U44" s="8" t="inlineStr"/>
      <c r="V44" s="9" t="inlineStr"/>
    </row>
    <row r="45" ht="40" customHeight="1">
      <c r="A45" s="4" t="inlineStr">
        <is>
          <t>1A-41</t>
        </is>
      </c>
      <c r="B45" s="5" t="inlineStr">
        <is>
          <t>Phase 1A</t>
        </is>
      </c>
      <c r="C45" s="5" t="inlineStr">
        <is>
          <t>Phase 1A</t>
        </is>
      </c>
      <c r="D45" s="4" t="inlineStr">
        <is>
          <t>Change order</t>
        </is>
      </c>
      <c r="E45" s="5" t="inlineStr">
        <is>
          <t>P1</t>
        </is>
      </c>
      <c r="F45" s="5" t="inlineStr">
        <is>
          <t>Automated</t>
        </is>
      </c>
      <c r="G45" s="6" t="inlineStr">
        <is>
          <t>A change order with the client.</t>
        </is>
      </c>
      <c r="H45" s="6" t="inlineStr">
        <is>
          <t>Reject it.</t>
        </is>
      </c>
      <c r="I45" s="6" t="inlineStr">
        <is>
          <t>It stops contributing to the signed totals. The signed value returns to what it was before the change order was raised, and the rejection is recorded in history.</t>
        </is>
      </c>
      <c r="J45" s="6" t="inlineStr">
        <is>
          <t>FR-31</t>
        </is>
      </c>
      <c r="K45" s="5" t="inlineStr">
        <is>
          <t>Not run</t>
        </is>
      </c>
      <c r="L45" s="6" t="inlineStr"/>
      <c r="M45" s="5" t="inlineStr"/>
      <c r="N45" s="4" t="inlineStr"/>
      <c r="O45" s="4" t="inlineStr"/>
      <c r="P45" s="4" t="inlineStr"/>
      <c r="Q45" s="6" t="inlineStr"/>
      <c r="R45" s="4" t="inlineStr"/>
      <c r="S45" s="4" t="inlineStr"/>
      <c r="T45" s="4" t="inlineStr"/>
      <c r="U45" s="5" t="inlineStr"/>
      <c r="V45" s="6" t="inlineStr"/>
    </row>
    <row r="46" ht="40" customHeight="1">
      <c r="A46" s="7" t="inlineStr">
        <is>
          <t>1A-42</t>
        </is>
      </c>
      <c r="B46" s="8" t="inlineStr">
        <is>
          <t>Phase 1A</t>
        </is>
      </c>
      <c r="C46" s="8" t="inlineStr">
        <is>
          <t>Phase 1A</t>
        </is>
      </c>
      <c r="D46" s="7" t="inlineStr">
        <is>
          <t>Change order</t>
        </is>
      </c>
      <c r="E46" s="8" t="inlineStr">
        <is>
          <t>P1</t>
        </is>
      </c>
      <c r="F46" s="8" t="inlineStr">
        <is>
          <t>Automated</t>
        </is>
      </c>
      <c r="G46" s="9" t="inlineStr">
        <is>
          <t>A Won Deal with a signed change order.</t>
        </is>
      </c>
      <c r="H46" s="9" t="inlineStr">
        <is>
          <t>Inspect stage and value.</t>
        </is>
      </c>
      <c r="I46" s="9" t="inlineStr">
        <is>
          <t>Stage stays Won. Value includes the difference, shown separately from the accepted base.</t>
        </is>
      </c>
      <c r="J46" s="9" t="inlineStr">
        <is>
          <t>AC-DEAL-06</t>
        </is>
      </c>
      <c r="K46" s="8" t="inlineStr">
        <is>
          <t>Not run</t>
        </is>
      </c>
      <c r="L46" s="9" t="inlineStr"/>
      <c r="M46" s="8" t="inlineStr"/>
      <c r="N46" s="7" t="inlineStr"/>
      <c r="O46" s="7" t="inlineStr"/>
      <c r="P46" s="7" t="inlineStr"/>
      <c r="Q46" s="9" t="inlineStr"/>
      <c r="R46" s="7" t="inlineStr"/>
      <c r="S46" s="7" t="inlineStr"/>
      <c r="T46" s="7" t="inlineStr"/>
      <c r="U46" s="8" t="inlineStr"/>
      <c r="V46" s="9" t="inlineStr"/>
    </row>
    <row r="47" ht="40" customHeight="1">
      <c r="A47" s="4" t="inlineStr">
        <is>
          <t>1A-43</t>
        </is>
      </c>
      <c r="B47" s="5" t="inlineStr">
        <is>
          <t>Phase 1A</t>
        </is>
      </c>
      <c r="C47" s="5" t="inlineStr">
        <is>
          <t>Phase 1A</t>
        </is>
      </c>
      <c r="D47" s="4" t="inlineStr">
        <is>
          <t>Change order</t>
        </is>
      </c>
      <c r="E47" s="5" t="inlineStr">
        <is>
          <t>P2</t>
        </is>
      </c>
      <c r="F47" s="5" t="inlineStr">
        <is>
          <t>Manual</t>
        </is>
      </c>
      <c r="G47" s="6" t="inlineStr">
        <is>
          <t>A quote carrying a signed change order.</t>
        </is>
      </c>
      <c r="H47" s="6" t="inlineStr">
        <is>
          <t>Try to unlink the quote.</t>
        </is>
      </c>
      <c r="I47" s="6" t="inlineStr">
        <is>
          <t>Unlinking is refused, with a message explaining that a quote carrying a signed change order cannot be removed from its Deal.</t>
        </is>
      </c>
      <c r="J47" s="6" t="inlineStr">
        <is>
          <t>FR-34</t>
        </is>
      </c>
      <c r="K47" s="5" t="inlineStr">
        <is>
          <t>Not run</t>
        </is>
      </c>
      <c r="L47" s="6" t="inlineStr"/>
      <c r="M47" s="5" t="inlineStr"/>
      <c r="N47" s="4" t="inlineStr"/>
      <c r="O47" s="4" t="inlineStr"/>
      <c r="P47" s="4" t="inlineStr"/>
      <c r="Q47" s="6" t="inlineStr"/>
      <c r="R47" s="4" t="inlineStr"/>
      <c r="S47" s="4" t="inlineStr"/>
      <c r="T47" s="4" t="inlineStr"/>
      <c r="U47" s="5" t="inlineStr"/>
      <c r="V47" s="6" t="inlineStr"/>
    </row>
    <row r="48" ht="40" customHeight="1">
      <c r="A48" s="7" t="inlineStr">
        <is>
          <t>1A-44</t>
        </is>
      </c>
      <c r="B48" s="8" t="inlineStr">
        <is>
          <t>Phase 1A</t>
        </is>
      </c>
      <c r="C48" s="8" t="inlineStr">
        <is>
          <t>Phase 1A</t>
        </is>
      </c>
      <c r="D48" s="7" t="inlineStr">
        <is>
          <t>Value</t>
        </is>
      </c>
      <c r="E48" s="8" t="inlineStr">
        <is>
          <t>P1</t>
        </is>
      </c>
      <c r="F48" s="8" t="inlineStr">
        <is>
          <t>Manual</t>
        </is>
      </c>
      <c r="G48" s="9" t="inlineStr">
        <is>
          <t>A Deal with no linked quotes.</t>
        </is>
      </c>
      <c r="H48" s="9" t="inlineStr">
        <is>
          <t>Inspect the Deal value.</t>
        </is>
      </c>
      <c r="I48" s="9" t="inlineStr">
        <is>
          <t>The manual estimate is used and labelled as an estimate.</t>
        </is>
      </c>
      <c r="J48" s="9" t="inlineStr">
        <is>
          <t>A7</t>
        </is>
      </c>
      <c r="K48" s="8" t="inlineStr">
        <is>
          <t>Not run</t>
        </is>
      </c>
      <c r="L48" s="9" t="inlineStr"/>
      <c r="M48" s="8" t="inlineStr"/>
      <c r="N48" s="7" t="inlineStr"/>
      <c r="O48" s="7" t="inlineStr"/>
      <c r="P48" s="7" t="inlineStr"/>
      <c r="Q48" s="9" t="inlineStr"/>
      <c r="R48" s="7" t="inlineStr"/>
      <c r="S48" s="7" t="inlineStr"/>
      <c r="T48" s="7" t="inlineStr"/>
      <c r="U48" s="8" t="inlineStr"/>
      <c r="V48" s="9" t="inlineStr"/>
    </row>
    <row r="49" ht="40" customHeight="1">
      <c r="A49" s="4" t="inlineStr">
        <is>
          <t>1A-45</t>
        </is>
      </c>
      <c r="B49" s="5" t="inlineStr">
        <is>
          <t>Phase 1A</t>
        </is>
      </c>
      <c r="C49" s="5" t="inlineStr">
        <is>
          <t>Phase 1A</t>
        </is>
      </c>
      <c r="D49" s="4" t="inlineStr">
        <is>
          <t>Value</t>
        </is>
      </c>
      <c r="E49" s="5" t="inlineStr">
        <is>
          <t>P1</t>
        </is>
      </c>
      <c r="F49" s="5" t="inlineStr">
        <is>
          <t>Automated</t>
        </is>
      </c>
      <c r="G49" s="6" t="inlineStr">
        <is>
          <t>A Won Deal.</t>
        </is>
      </c>
      <c r="H49" s="6" t="inlineStr">
        <is>
          <t>Inspect the money panel.</t>
        </is>
      </c>
      <c r="I49" s="6" t="inlineStr">
        <is>
          <t>Signed = accepted net totals plus change-order differences. Draft invoice value is separate and not inside invoiced.</t>
        </is>
      </c>
      <c r="J49" s="6" t="inlineStr">
        <is>
          <t>FR-29 / A7</t>
        </is>
      </c>
      <c r="K49" s="5" t="inlineStr">
        <is>
          <t>Not run</t>
        </is>
      </c>
      <c r="L49" s="6" t="inlineStr"/>
      <c r="M49" s="5" t="inlineStr"/>
      <c r="N49" s="4" t="inlineStr"/>
      <c r="O49" s="4" t="inlineStr"/>
      <c r="P49" s="4" t="inlineStr"/>
      <c r="Q49" s="6" t="inlineStr"/>
      <c r="R49" s="4" t="inlineStr"/>
      <c r="S49" s="4" t="inlineStr"/>
      <c r="T49" s="4" t="inlineStr"/>
      <c r="U49" s="5" t="inlineStr"/>
      <c r="V49" s="6" t="inlineStr"/>
    </row>
    <row r="50" ht="40" customHeight="1">
      <c r="A50" s="7" t="inlineStr">
        <is>
          <t>1A-46</t>
        </is>
      </c>
      <c r="B50" s="8" t="inlineStr">
        <is>
          <t>Phase 1A</t>
        </is>
      </c>
      <c r="C50" s="8" t="inlineStr">
        <is>
          <t>Phase 1A</t>
        </is>
      </c>
      <c r="D50" s="7" t="inlineStr">
        <is>
          <t>Value</t>
        </is>
      </c>
      <c r="E50" s="8" t="inlineStr">
        <is>
          <t>P2</t>
        </is>
      </c>
      <c r="F50" s="8" t="inlineStr">
        <is>
          <t>Manual</t>
        </is>
      </c>
      <c r="G50" s="9" t="inlineStr">
        <is>
          <t>A Deal with quotes and change orders.</t>
        </is>
      </c>
      <c r="H50" s="9" t="inlineStr">
        <is>
          <t>Inspect the four margin figures.</t>
        </is>
      </c>
      <c r="I50" s="9" t="inlineStr">
        <is>
          <t>Deal, signed, product and labour margin all present, each stating its basis.</t>
        </is>
      </c>
      <c r="J50" s="9" t="inlineStr">
        <is>
          <t>C20</t>
        </is>
      </c>
      <c r="K50" s="8" t="inlineStr">
        <is>
          <t>Not run</t>
        </is>
      </c>
      <c r="L50" s="9" t="inlineStr"/>
      <c r="M50" s="8" t="inlineStr"/>
      <c r="N50" s="7" t="inlineStr"/>
      <c r="O50" s="7" t="inlineStr"/>
      <c r="P50" s="7" t="inlineStr"/>
      <c r="Q50" s="9" t="inlineStr"/>
      <c r="R50" s="7" t="inlineStr"/>
      <c r="S50" s="7" t="inlineStr"/>
      <c r="T50" s="7" t="inlineStr"/>
      <c r="U50" s="8" t="inlineStr"/>
      <c r="V50" s="9" t="inlineStr"/>
    </row>
    <row r="51" ht="40" customHeight="1">
      <c r="A51" s="4" t="inlineStr">
        <is>
          <t>1A-47</t>
        </is>
      </c>
      <c r="B51" s="5" t="inlineStr">
        <is>
          <t>Phase 1A</t>
        </is>
      </c>
      <c r="C51" s="5" t="inlineStr">
        <is>
          <t>Phase 1A</t>
        </is>
      </c>
      <c r="D51" s="4" t="inlineStr">
        <is>
          <t>Visibility</t>
        </is>
      </c>
      <c r="E51" s="5" t="inlineStr">
        <is>
          <t>P1</t>
        </is>
      </c>
      <c r="F51" s="5" t="inlineStr">
        <is>
          <t>Manual</t>
        </is>
      </c>
      <c r="G51" s="6" t="inlineStr">
        <is>
          <t>Users in two companies; records in both.</t>
        </is>
      </c>
      <c r="H51" s="6" t="inlineStr">
        <is>
          <t>Sign in as a user limited to one company.</t>
        </is>
      </c>
      <c r="I51" s="6" t="inlineStr">
        <is>
          <t>Only that company's Leads, Deals and Automations are visible.</t>
        </is>
      </c>
      <c r="J51" s="6" t="inlineStr">
        <is>
          <t>FR-38 / AC-BLD-04</t>
        </is>
      </c>
      <c r="K51" s="5" t="inlineStr">
        <is>
          <t>Not run</t>
        </is>
      </c>
      <c r="L51" s="6" t="inlineStr"/>
      <c r="M51" s="5" t="inlineStr"/>
      <c r="N51" s="4" t="inlineStr"/>
      <c r="O51" s="4" t="inlineStr"/>
      <c r="P51" s="4" t="inlineStr"/>
      <c r="Q51" s="6" t="inlineStr"/>
      <c r="R51" s="4" t="inlineStr"/>
      <c r="S51" s="4" t="inlineStr"/>
      <c r="T51" s="4" t="inlineStr"/>
      <c r="U51" s="5" t="inlineStr"/>
      <c r="V51" s="6" t="inlineStr"/>
    </row>
    <row r="52" ht="40" customHeight="1">
      <c r="A52" s="7" t="inlineStr">
        <is>
          <t>1A-48</t>
        </is>
      </c>
      <c r="B52" s="8" t="inlineStr">
        <is>
          <t>Phase 1A</t>
        </is>
      </c>
      <c r="C52" s="8" t="inlineStr">
        <is>
          <t>Phase 1A</t>
        </is>
      </c>
      <c r="D52" s="7" t="inlineStr">
        <is>
          <t>Visibility</t>
        </is>
      </c>
      <c r="E52" s="8" t="inlineStr">
        <is>
          <t>P1</t>
        </is>
      </c>
      <c r="F52" s="8" t="inlineStr">
        <is>
          <t>Manual</t>
        </is>
      </c>
      <c r="G52" s="9" t="inlineStr">
        <is>
          <t>A user who owns nothing and is on no team.</t>
        </is>
      </c>
      <c r="H52" s="9" t="inlineStr">
        <is>
          <t>Open the Deal list.</t>
        </is>
      </c>
      <c r="I52" s="9" t="inlineStr">
        <is>
          <t>The list is empty apart from anything explicitly shared. No Deal from another owner, team or company appears.</t>
        </is>
      </c>
      <c r="J52" s="9" t="inlineStr">
        <is>
          <t>FR-38</t>
        </is>
      </c>
      <c r="K52" s="8" t="inlineStr">
        <is>
          <t>Not run</t>
        </is>
      </c>
      <c r="L52" s="9" t="inlineStr"/>
      <c r="M52" s="8" t="inlineStr"/>
      <c r="N52" s="7" t="inlineStr"/>
      <c r="O52" s="7" t="inlineStr"/>
      <c r="P52" s="7" t="inlineStr"/>
      <c r="Q52" s="9" t="inlineStr"/>
      <c r="R52" s="7" t="inlineStr"/>
      <c r="S52" s="7" t="inlineStr"/>
      <c r="T52" s="7" t="inlineStr"/>
      <c r="U52" s="8" t="inlineStr"/>
      <c r="V52" s="9" t="inlineStr"/>
    </row>
    <row r="53" ht="40" customHeight="1">
      <c r="A53" s="4" t="inlineStr">
        <is>
          <t>1A-49</t>
        </is>
      </c>
      <c r="B53" s="5" t="inlineStr">
        <is>
          <t>Phase 1A</t>
        </is>
      </c>
      <c r="C53" s="5" t="inlineStr">
        <is>
          <t>Phase 1A</t>
        </is>
      </c>
      <c r="D53" s="4" t="inlineStr">
        <is>
          <t>Visibility</t>
        </is>
      </c>
      <c r="E53" s="5" t="inlineStr">
        <is>
          <t>P2</t>
        </is>
      </c>
      <c r="F53" s="5" t="inlineStr">
        <is>
          <t>Manual</t>
        </is>
      </c>
      <c r="G53" s="6" t="inlineStr">
        <is>
          <t>Deals across companies and stages.</t>
        </is>
      </c>
      <c r="H53" s="6" t="inlineStr">
        <is>
          <t>Apply pipeline, company and stage filters, then sort.</t>
        </is>
      </c>
      <c r="I53" s="6" t="inlineStr">
        <is>
          <t>Basic filtering and sorting work. No forecast-specific control is present.</t>
        </is>
      </c>
      <c r="J53" s="6" t="inlineStr">
        <is>
          <t>AC-RUN-07</t>
        </is>
      </c>
      <c r="K53" s="5" t="inlineStr">
        <is>
          <t>Not run</t>
        </is>
      </c>
      <c r="L53" s="6" t="inlineStr"/>
      <c r="M53" s="5" t="inlineStr"/>
      <c r="N53" s="4" t="inlineStr"/>
      <c r="O53" s="4" t="inlineStr"/>
      <c r="P53" s="4" t="inlineStr"/>
      <c r="Q53" s="6" t="inlineStr"/>
      <c r="R53" s="4" t="inlineStr"/>
      <c r="S53" s="4" t="inlineStr"/>
      <c r="T53" s="4" t="inlineStr"/>
      <c r="U53" s="5" t="inlineStr"/>
      <c r="V53" s="6" t="inlineStr"/>
    </row>
    <row r="54" ht="40" customHeight="1">
      <c r="A54" s="7" t="inlineStr">
        <is>
          <t>1A-50</t>
        </is>
      </c>
      <c r="B54" s="8" t="inlineStr">
        <is>
          <t>Phase 1A</t>
        </is>
      </c>
      <c r="C54" s="8" t="inlineStr">
        <is>
          <t>Phase 1A</t>
        </is>
      </c>
      <c r="D54" s="7" t="inlineStr">
        <is>
          <t>Tenancy</t>
        </is>
      </c>
      <c r="E54" s="8" t="inlineStr">
        <is>
          <t>P1</t>
        </is>
      </c>
      <c r="F54" s="8" t="inlineStr">
        <is>
          <t>Automated</t>
        </is>
      </c>
      <c r="G54" s="9" t="inlineStr">
        <is>
          <t>Two customer accounts with data.</t>
        </is>
      </c>
      <c r="H54" s="9" t="inlineStr">
        <is>
          <t>Inject a quote event carrying the other account's identifiers.</t>
        </is>
      </c>
      <c r="I54" s="9" t="inlineStr">
        <is>
          <t>Rejected the moment it is received, before any company or stage is matched. Nothing is written to either account.</t>
        </is>
      </c>
      <c r="J54" s="9" t="inlineStr">
        <is>
          <t>FR-37 / AC-RUN-05</t>
        </is>
      </c>
      <c r="K54" s="8" t="inlineStr">
        <is>
          <t>Not run</t>
        </is>
      </c>
      <c r="L54" s="9" t="inlineStr"/>
      <c r="M54" s="8" t="inlineStr"/>
      <c r="N54" s="7" t="inlineStr"/>
      <c r="O54" s="7" t="inlineStr"/>
      <c r="P54" s="7" t="inlineStr"/>
      <c r="Q54" s="9" t="inlineStr"/>
      <c r="R54" s="7" t="inlineStr"/>
      <c r="S54" s="7" t="inlineStr"/>
      <c r="T54" s="7" t="inlineStr"/>
      <c r="U54" s="8" t="inlineStr"/>
      <c r="V54" s="9" t="inlineStr"/>
    </row>
    <row r="55" ht="40" customHeight="1">
      <c r="A55" s="4" t="inlineStr">
        <is>
          <t>1A-51</t>
        </is>
      </c>
      <c r="B55" s="5" t="inlineStr">
        <is>
          <t>Phase 1A</t>
        </is>
      </c>
      <c r="C55" s="5" t="inlineStr">
        <is>
          <t>Phase 1A</t>
        </is>
      </c>
      <c r="D55" s="4" t="inlineStr">
        <is>
          <t>Tenancy</t>
        </is>
      </c>
      <c r="E55" s="5" t="inlineStr">
        <is>
          <t>P1</t>
        </is>
      </c>
      <c r="F55" s="5" t="inlineStr">
        <is>
          <t>Automated</t>
        </is>
      </c>
      <c r="G55" s="6" t="inlineStr">
        <is>
          <t>Two accounts, each with activity entries.</t>
        </is>
      </c>
      <c r="H55" s="6" t="inlineStr">
        <is>
          <t>Read the activity timeline as each account.</t>
        </is>
      </c>
      <c r="I55" s="6" t="inlineStr">
        <is>
          <t>Each sees only its own. The organisation column is populated on every row including pre-existing ones.</t>
        </is>
      </c>
      <c r="J55" s="6" t="inlineStr">
        <is>
          <t>FR-39</t>
        </is>
      </c>
      <c r="K55" s="5" t="inlineStr">
        <is>
          <t>Not run</t>
        </is>
      </c>
      <c r="L55" s="6" t="inlineStr"/>
      <c r="M55" s="5" t="inlineStr"/>
      <c r="N55" s="4" t="inlineStr"/>
      <c r="O55" s="4" t="inlineStr"/>
      <c r="P55" s="4" t="inlineStr"/>
      <c r="Q55" s="6" t="inlineStr"/>
      <c r="R55" s="4" t="inlineStr"/>
      <c r="S55" s="4" t="inlineStr"/>
      <c r="T55" s="4" t="inlineStr"/>
      <c r="U55" s="5" t="inlineStr"/>
      <c r="V55" s="6" t="inlineStr"/>
    </row>
    <row r="56" ht="40" customHeight="1">
      <c r="A56" s="7" t="inlineStr">
        <is>
          <t>1A-52</t>
        </is>
      </c>
      <c r="B56" s="8" t="inlineStr">
        <is>
          <t>Phase 1A</t>
        </is>
      </c>
      <c r="C56" s="8" t="inlineStr">
        <is>
          <t>Phase 1A</t>
        </is>
      </c>
      <c r="D56" s="7" t="inlineStr">
        <is>
          <t>No side effects</t>
        </is>
      </c>
      <c r="E56" s="8" t="inlineStr">
        <is>
          <t>P1</t>
        </is>
      </c>
      <c r="F56" s="8" t="inlineStr">
        <is>
          <t>Manual</t>
        </is>
      </c>
      <c r="G56" s="9" t="inlineStr">
        <is>
          <t>Phase 1A build, no recipes configured.</t>
        </is>
      </c>
      <c r="H56" s="9" t="inlineStr">
        <is>
          <t>Move a Deal through every stage, leave it idle a week, let a quote expire.</t>
        </is>
      </c>
      <c r="I56" s="9" t="inlineStr">
        <is>
          <t>No note, task, file request or notification is created unprompted. Needs-your-attention may display but must not write.</t>
        </is>
      </c>
      <c r="J56" s="9" t="inlineStr">
        <is>
          <t>FR-41</t>
        </is>
      </c>
      <c r="K56" s="8" t="inlineStr">
        <is>
          <t>Not run</t>
        </is>
      </c>
      <c r="L56" s="9" t="inlineStr"/>
      <c r="M56" s="8" t="inlineStr"/>
      <c r="N56" s="7" t="inlineStr"/>
      <c r="O56" s="7" t="inlineStr"/>
      <c r="P56" s="7" t="inlineStr"/>
      <c r="Q56" s="9" t="inlineStr"/>
      <c r="R56" s="7" t="inlineStr"/>
      <c r="S56" s="7" t="inlineStr"/>
      <c r="T56" s="7" t="inlineStr"/>
      <c r="U56" s="8" t="inlineStr"/>
      <c r="V56" s="9" t="inlineStr"/>
    </row>
    <row r="57" ht="40" customHeight="1">
      <c r="A57" s="4" t="inlineStr">
        <is>
          <t>1A-53</t>
        </is>
      </c>
      <c r="B57" s="5" t="inlineStr">
        <is>
          <t>Phase 1A</t>
        </is>
      </c>
      <c r="C57" s="5" t="inlineStr">
        <is>
          <t>Phase 1A</t>
        </is>
      </c>
      <c r="D57" s="4" t="inlineStr">
        <is>
          <t>Flags</t>
        </is>
      </c>
      <c r="E57" s="5" t="inlineStr">
        <is>
          <t>P1</t>
        </is>
      </c>
      <c r="F57" s="5" t="inlineStr">
        <is>
          <t>Manual</t>
        </is>
      </c>
      <c r="G57" s="6" t="inlineStr">
        <is>
          <t>Phase 1A build.</t>
        </is>
      </c>
      <c r="H57" s="6" t="inlineStr">
        <is>
          <t>Look for Site Ready, Commit Forecast and Stage-weighted views.</t>
        </is>
      </c>
      <c r="I57" s="6" t="inlineStr">
        <is>
          <t>None of the three is reachable — not in navigation, not by direct URL, and not through search.</t>
        </is>
      </c>
      <c r="J57" s="6" t="inlineStr">
        <is>
          <t>D8</t>
        </is>
      </c>
      <c r="K57" s="5" t="inlineStr">
        <is>
          <t>Not run</t>
        </is>
      </c>
      <c r="L57" s="6" t="inlineStr"/>
      <c r="M57" s="5" t="inlineStr"/>
      <c r="N57" s="4" t="inlineStr"/>
      <c r="O57" s="4" t="inlineStr"/>
      <c r="P57" s="4" t="inlineStr"/>
      <c r="Q57" s="6" t="inlineStr"/>
      <c r="R57" s="4" t="inlineStr"/>
      <c r="S57" s="4" t="inlineStr"/>
      <c r="T57" s="4" t="inlineStr"/>
      <c r="U57" s="5" t="inlineStr"/>
      <c r="V57" s="6" t="inlineStr"/>
    </row>
    <row r="58" ht="40" customHeight="1">
      <c r="A58" s="7" t="inlineStr">
        <is>
          <t>1A-54</t>
        </is>
      </c>
      <c r="B58" s="8" t="inlineStr">
        <is>
          <t>Phase 1A</t>
        </is>
      </c>
      <c r="C58" s="8" t="inlineStr">
        <is>
          <t>Phase 1A</t>
        </is>
      </c>
      <c r="D58" s="7" t="inlineStr">
        <is>
          <t>History</t>
        </is>
      </c>
      <c r="E58" s="8" t="inlineStr">
        <is>
          <t>P1</t>
        </is>
      </c>
      <c r="F58" s="8" t="inlineStr">
        <is>
          <t>Manual</t>
        </is>
      </c>
      <c r="G58" s="9" t="inlineStr">
        <is>
          <t>A Deal that moved through several stages.</t>
        </is>
      </c>
      <c r="H58" s="9" t="inlineStr">
        <is>
          <t>Open the Deal history.</t>
        </is>
      </c>
      <c r="I58" s="9" t="inlineStr">
        <is>
          <t>Every protected transition recorded with its trigger; every backward correction records its reason.</t>
        </is>
      </c>
      <c r="J58" s="9" t="inlineStr">
        <is>
          <t>AC-DEAL-01</t>
        </is>
      </c>
      <c r="K58" s="8" t="inlineStr">
        <is>
          <t>Not run</t>
        </is>
      </c>
      <c r="L58" s="9" t="inlineStr"/>
      <c r="M58" s="8" t="inlineStr"/>
      <c r="N58" s="7" t="inlineStr"/>
      <c r="O58" s="7" t="inlineStr"/>
      <c r="P58" s="7" t="inlineStr"/>
      <c r="Q58" s="9" t="inlineStr"/>
      <c r="R58" s="7" t="inlineStr"/>
      <c r="S58" s="7" t="inlineStr"/>
      <c r="T58" s="7" t="inlineStr"/>
      <c r="U58" s="8" t="inlineStr"/>
      <c r="V58" s="9" t="inlineStr"/>
    </row>
    <row r="59" ht="40" customHeight="1">
      <c r="A59" s="4" t="inlineStr">
        <is>
          <t>1A-55</t>
        </is>
      </c>
      <c r="B59" s="5" t="inlineStr">
        <is>
          <t>Phase 1A</t>
        </is>
      </c>
      <c r="C59" s="5" t="inlineStr">
        <is>
          <t>Phase 1A</t>
        </is>
      </c>
      <c r="D59" s="4" t="inlineStr">
        <is>
          <t>Quote &amp; Sales</t>
        </is>
      </c>
      <c r="E59" s="5" t="inlineStr">
        <is>
          <t>P1</t>
        </is>
      </c>
      <c r="F59" s="5" t="inlineStr">
        <is>
          <t>Manual</t>
        </is>
      </c>
      <c r="G59" s="6" t="inlineStr">
        <is>
          <t>Quotes across three permitted companies; All Companies selected.</t>
        </is>
      </c>
      <c r="H59" s="6" t="inlineStr">
        <is>
          <t>Read the list.</t>
        </is>
      </c>
      <c r="I59" s="6" t="inlineStr">
        <is>
          <t>Every row identifies its issuing company by a readable short name, and the full name is obtainable without opening the quote.</t>
        </is>
      </c>
      <c r="J59" s="6" t="inlineStr">
        <is>
          <t>FR-46 / AC-QS-04</t>
        </is>
      </c>
      <c r="K59" s="5" t="inlineStr">
        <is>
          <t>Not run</t>
        </is>
      </c>
      <c r="L59" s="6" t="inlineStr"/>
      <c r="M59" s="5" t="inlineStr"/>
      <c r="N59" s="4" t="inlineStr"/>
      <c r="O59" s="4" t="inlineStr"/>
      <c r="P59" s="4" t="inlineStr"/>
      <c r="Q59" s="6" t="inlineStr"/>
      <c r="R59" s="4" t="inlineStr"/>
      <c r="S59" s="4" t="inlineStr"/>
      <c r="T59" s="4" t="inlineStr"/>
      <c r="U59" s="5" t="inlineStr"/>
      <c r="V59" s="6" t="inlineStr"/>
    </row>
    <row r="60" ht="40" customHeight="1">
      <c r="A60" s="7" t="inlineStr">
        <is>
          <t>1A-56</t>
        </is>
      </c>
      <c r="B60" s="8" t="inlineStr">
        <is>
          <t>Phase 1A</t>
        </is>
      </c>
      <c r="C60" s="8" t="inlineStr">
        <is>
          <t>Phase 1A</t>
        </is>
      </c>
      <c r="D60" s="7" t="inlineStr">
        <is>
          <t>Quote &amp; Sales</t>
        </is>
      </c>
      <c r="E60" s="8" t="inlineStr">
        <is>
          <t>P1</t>
        </is>
      </c>
      <c r="F60" s="8" t="inlineStr">
        <is>
          <t>Manual</t>
        </is>
      </c>
      <c r="G60" s="9" t="inlineStr">
        <is>
          <t>The same list, All Companies selected.</t>
        </is>
      </c>
      <c r="H60" s="9" t="inlineStr">
        <is>
          <t>Select one company.</t>
        </is>
      </c>
      <c r="I60" s="9" t="inlineStr">
        <is>
          <t>The owning company column disappears. Status counts, search results, pagination totals and rows all narrow to that company alone.</t>
        </is>
      </c>
      <c r="J60" s="9" t="inlineStr">
        <is>
          <t>FR-46 / AC-QS-05</t>
        </is>
      </c>
      <c r="K60" s="8" t="inlineStr">
        <is>
          <t>Not run</t>
        </is>
      </c>
      <c r="L60" s="9" t="inlineStr"/>
      <c r="M60" s="8" t="inlineStr"/>
      <c r="N60" s="7" t="inlineStr"/>
      <c r="O60" s="7" t="inlineStr"/>
      <c r="P60" s="7" t="inlineStr"/>
      <c r="Q60" s="9" t="inlineStr"/>
      <c r="R60" s="7" t="inlineStr"/>
      <c r="S60" s="7" t="inlineStr"/>
      <c r="T60" s="7" t="inlineStr"/>
      <c r="U60" s="8" t="inlineStr"/>
      <c r="V60" s="9" t="inlineStr"/>
    </row>
    <row r="61" ht="40" customHeight="1">
      <c r="A61" s="4" t="inlineStr">
        <is>
          <t>1A-57</t>
        </is>
      </c>
      <c r="B61" s="5" t="inlineStr">
        <is>
          <t>Phase 1A</t>
        </is>
      </c>
      <c r="C61" s="5" t="inlineStr">
        <is>
          <t>Phase 1A</t>
        </is>
      </c>
      <c r="D61" s="4" t="inlineStr">
        <is>
          <t>Quote &amp; Sales</t>
        </is>
      </c>
      <c r="E61" s="5" t="inlineStr">
        <is>
          <t>P1</t>
        </is>
      </c>
      <c r="F61" s="5" t="inlineStr">
        <is>
          <t>Manual</t>
        </is>
      </c>
      <c r="G61" s="6" t="inlineStr">
        <is>
          <t>Quotes belonging to several deals.</t>
        </is>
      </c>
      <c r="H61" s="6" t="inlineStr">
        <is>
          <t>Turn on Group by Deal with the company column shown, then with it hidden.</t>
        </is>
      </c>
      <c r="I61" s="6" t="inlineStr">
        <is>
          <t>Group headings and column spans stay aligned in both states, and no quote record changes. Turning it off restores the flat list exactly.</t>
        </is>
      </c>
      <c r="J61" s="6" t="inlineStr">
        <is>
          <t>FR-48 / AC-QS-06</t>
        </is>
      </c>
      <c r="K61" s="5" t="inlineStr">
        <is>
          <t>Not run</t>
        </is>
      </c>
      <c r="L61" s="6" t="inlineStr"/>
      <c r="M61" s="5" t="inlineStr"/>
      <c r="N61" s="4" t="inlineStr"/>
      <c r="O61" s="4" t="inlineStr"/>
      <c r="P61" s="4" t="inlineStr"/>
      <c r="Q61" s="6" t="inlineStr"/>
      <c r="R61" s="4" t="inlineStr"/>
      <c r="S61" s="4" t="inlineStr"/>
      <c r="T61" s="4" t="inlineStr"/>
      <c r="U61" s="5" t="inlineStr"/>
      <c r="V61" s="6" t="inlineStr"/>
    </row>
    <row r="62" ht="40" customHeight="1">
      <c r="A62" s="7" t="inlineStr">
        <is>
          <t>1A-58</t>
        </is>
      </c>
      <c r="B62" s="8" t="inlineStr">
        <is>
          <t>Phase 1A</t>
        </is>
      </c>
      <c r="C62" s="8" t="inlineStr">
        <is>
          <t>Phase 1A</t>
        </is>
      </c>
      <c r="D62" s="7" t="inlineStr">
        <is>
          <t>Quote &amp; Sales</t>
        </is>
      </c>
      <c r="E62" s="8" t="inlineStr">
        <is>
          <t>P1</t>
        </is>
      </c>
      <c r="F62" s="8" t="inlineStr">
        <is>
          <t>Manual</t>
        </is>
      </c>
      <c r="G62" s="9" t="inlineStr">
        <is>
          <t>A deal with three quote options.</t>
        </is>
      </c>
      <c r="H62" s="9" t="inlineStr">
        <is>
          <t>Open a quote from all five routes: list row, quote ID in the options popover, option in the linked-deal panel, a newly created option, and a related quote on the Deal.</t>
        </is>
      </c>
      <c r="I62" s="9" t="inlineStr">
        <is>
          <t>All five open the dedicated quote workspace on the record that was clicked. The global CRM sidebar and top bar are absent every time, and no route falls back to the old quote summary.</t>
        </is>
      </c>
      <c r="J62" s="9" t="inlineStr">
        <is>
          <t>FR-42, FR-43 / AC-QS-01, AC-QS-02</t>
        </is>
      </c>
      <c r="K62" s="8" t="inlineStr">
        <is>
          <t>Not run</t>
        </is>
      </c>
      <c r="L62" s="9" t="inlineStr"/>
      <c r="M62" s="8" t="inlineStr"/>
      <c r="N62" s="7" t="inlineStr"/>
      <c r="O62" s="7" t="inlineStr"/>
      <c r="P62" s="7" t="inlineStr"/>
      <c r="Q62" s="9" t="inlineStr"/>
      <c r="R62" s="7" t="inlineStr"/>
      <c r="S62" s="7" t="inlineStr"/>
      <c r="T62" s="7" t="inlineStr"/>
      <c r="U62" s="8" t="inlineStr"/>
      <c r="V62" s="9" t="inlineStr"/>
    </row>
    <row r="63" ht="40" customHeight="1">
      <c r="A63" s="4" t="inlineStr">
        <is>
          <t>1A-59</t>
        </is>
      </c>
      <c r="B63" s="5" t="inlineStr">
        <is>
          <t>Phase 1A</t>
        </is>
      </c>
      <c r="C63" s="5" t="inlineStr">
        <is>
          <t>Phase 1A</t>
        </is>
      </c>
      <c r="D63" s="4" t="inlineStr">
        <is>
          <t>Quote &amp; Sales</t>
        </is>
      </c>
      <c r="E63" s="5" t="inlineStr">
        <is>
          <t>P2</t>
        </is>
      </c>
      <c r="F63" s="5" t="inlineStr">
        <is>
          <t>Manual</t>
        </is>
      </c>
      <c r="G63" s="6" t="inlineStr">
        <is>
          <t>A quote open in the workspace.</t>
        </is>
      </c>
      <c r="H63" s="6" t="inlineStr">
        <is>
          <t>Open every item in the quote navigation in turn, then return to Summary from each.</t>
        </is>
      </c>
      <c r="I63" s="6" t="inlineStr">
        <is>
          <t>Every item opens and every one returns to Summary. Nothing routes back into the CRM shell.</t>
        </is>
      </c>
      <c r="J63" s="6" t="inlineStr">
        <is>
          <t>FR-43 / AC-QS-03</t>
        </is>
      </c>
      <c r="K63" s="5" t="inlineStr">
        <is>
          <t>Not run</t>
        </is>
      </c>
      <c r="L63" s="6" t="inlineStr"/>
      <c r="M63" s="5" t="inlineStr"/>
      <c r="N63" s="4" t="inlineStr"/>
      <c r="O63" s="4" t="inlineStr"/>
      <c r="P63" s="4" t="inlineStr"/>
      <c r="Q63" s="6" t="inlineStr"/>
      <c r="R63" s="4" t="inlineStr"/>
      <c r="S63" s="4" t="inlineStr"/>
      <c r="T63" s="4" t="inlineStr"/>
      <c r="U63" s="5" t="inlineStr"/>
      <c r="V63" s="6" t="inlineStr"/>
    </row>
    <row r="64" ht="40" customHeight="1">
      <c r="A64" s="7" t="inlineStr">
        <is>
          <t>1A-60</t>
        </is>
      </c>
      <c r="B64" s="8" t="inlineStr">
        <is>
          <t>Phase 1A</t>
        </is>
      </c>
      <c r="C64" s="8" t="inlineStr">
        <is>
          <t>Phase 1A</t>
        </is>
      </c>
      <c r="D64" s="7" t="inlineStr">
        <is>
          <t>Quote &amp; Sales</t>
        </is>
      </c>
      <c r="E64" s="8" t="inlineStr">
        <is>
          <t>P1</t>
        </is>
      </c>
      <c r="F64" s="8" t="inlineStr">
        <is>
          <t>Manual</t>
        </is>
      </c>
      <c r="G64" s="9" t="inlineStr">
        <is>
          <t>A quote open in the workspace.</t>
        </is>
      </c>
      <c r="H64" s="9" t="inlineStr">
        <is>
          <t>Copy the browser address, open it in a fresh session as a permitted user, then as a user without that company.</t>
        </is>
      </c>
      <c r="I64" s="9" t="inlineStr">
        <is>
          <t>The permitted user lands on the same quote in the workspace. The unpermitted user is refused, and nothing about the quote leaks in the refusal.</t>
        </is>
      </c>
      <c r="J64" s="9" t="inlineStr">
        <is>
          <t>FR-57 / AC-QS-15</t>
        </is>
      </c>
      <c r="K64" s="8" t="inlineStr">
        <is>
          <t>Not run</t>
        </is>
      </c>
      <c r="L64" s="9" t="inlineStr"/>
      <c r="M64" s="8" t="inlineStr"/>
      <c r="N64" s="7" t="inlineStr"/>
      <c r="O64" s="7" t="inlineStr"/>
      <c r="P64" s="7" t="inlineStr"/>
      <c r="Q64" s="9" t="inlineStr"/>
      <c r="R64" s="7" t="inlineStr"/>
      <c r="S64" s="7" t="inlineStr"/>
      <c r="T64" s="7" t="inlineStr"/>
      <c r="U64" s="8" t="inlineStr"/>
      <c r="V64" s="9" t="inlineStr"/>
    </row>
    <row r="65" ht="40" customHeight="1">
      <c r="A65" s="4" t="inlineStr">
        <is>
          <t>1A-61</t>
        </is>
      </c>
      <c r="B65" s="5" t="inlineStr">
        <is>
          <t>Phase 1A</t>
        </is>
      </c>
      <c r="C65" s="5" t="inlineStr">
        <is>
          <t>Phase 1A</t>
        </is>
      </c>
      <c r="D65" s="4" t="inlineStr">
        <is>
          <t>Quote &amp; Sales</t>
        </is>
      </c>
      <c r="E65" s="5" t="inlineStr">
        <is>
          <t>P1</t>
        </is>
      </c>
      <c r="F65" s="5" t="inlineStr">
        <is>
          <t>Manual</t>
        </is>
      </c>
      <c r="G65" s="6" t="inlineStr">
        <is>
          <t>An unlinked quote and a compatible deal in the same company.</t>
        </is>
      </c>
      <c r="H65" s="6" t="inlineStr">
        <is>
          <t>Link the quote to the existing deal.</t>
        </is>
      </c>
      <c r="I65" s="6" t="inlineStr">
        <is>
          <t>The dialogue states what will change before confirmation. Afterwards the quote shows the deal, its derived stage and Option N of M, and the owning company, the customer and any accepted outcome are unchanged.</t>
        </is>
      </c>
      <c r="J65" s="6" t="inlineStr">
        <is>
          <t>FR-50 / AC-QS-08</t>
        </is>
      </c>
      <c r="K65" s="5" t="inlineStr">
        <is>
          <t>Not run</t>
        </is>
      </c>
      <c r="L65" s="6" t="inlineStr"/>
      <c r="M65" s="5" t="inlineStr"/>
      <c r="N65" s="4" t="inlineStr"/>
      <c r="O65" s="4" t="inlineStr"/>
      <c r="P65" s="4" t="inlineStr"/>
      <c r="Q65" s="6" t="inlineStr"/>
      <c r="R65" s="4" t="inlineStr"/>
      <c r="S65" s="4" t="inlineStr"/>
      <c r="T65" s="4" t="inlineStr"/>
      <c r="U65" s="5" t="inlineStr"/>
      <c r="V65" s="6" t="inlineStr"/>
    </row>
    <row r="66" ht="40" customHeight="1">
      <c r="A66" s="7" t="inlineStr">
        <is>
          <t>1A-62</t>
        </is>
      </c>
      <c r="B66" s="8" t="inlineStr">
        <is>
          <t>Phase 1A</t>
        </is>
      </c>
      <c r="C66" s="8" t="inlineStr">
        <is>
          <t>Phase 1A</t>
        </is>
      </c>
      <c r="D66" s="7" t="inlineStr">
        <is>
          <t>Quote &amp; Sales</t>
        </is>
      </c>
      <c r="E66" s="8" t="inlineStr">
        <is>
          <t>P1</t>
        </is>
      </c>
      <c r="F66" s="8" t="inlineStr">
        <is>
          <t>Manual</t>
        </is>
      </c>
      <c r="G66" s="9" t="inlineStr">
        <is>
          <t>Two unlinked quotes in the same company.</t>
        </is>
      </c>
      <c r="H66" s="9" t="inlineStr">
        <is>
          <t>Link one to the other.</t>
        </is>
      </c>
      <c r="I66" s="9" t="inlineStr">
        <is>
          <t>One shared deal grouping results. No duplicate quote is created and neither quote's own record is rewritten.</t>
        </is>
      </c>
      <c r="J66" s="9" t="inlineStr">
        <is>
          <t>FR-50 / AC-QS-09</t>
        </is>
      </c>
      <c r="K66" s="8" t="inlineStr">
        <is>
          <t>Not run</t>
        </is>
      </c>
      <c r="L66" s="9" t="inlineStr"/>
      <c r="M66" s="8" t="inlineStr"/>
      <c r="N66" s="7" t="inlineStr"/>
      <c r="O66" s="7" t="inlineStr"/>
      <c r="P66" s="7" t="inlineStr"/>
      <c r="Q66" s="9" t="inlineStr"/>
      <c r="R66" s="7" t="inlineStr"/>
      <c r="S66" s="7" t="inlineStr"/>
      <c r="T66" s="7" t="inlineStr"/>
      <c r="U66" s="8" t="inlineStr"/>
      <c r="V66" s="9" t="inlineStr"/>
    </row>
    <row r="67" ht="40" customHeight="1">
      <c r="A67" s="4" t="inlineStr">
        <is>
          <t>1A-63</t>
        </is>
      </c>
      <c r="B67" s="5" t="inlineStr">
        <is>
          <t>Phase 1A</t>
        </is>
      </c>
      <c r="C67" s="5" t="inlineStr">
        <is>
          <t>Phase 1A</t>
        </is>
      </c>
      <c r="D67" s="4" t="inlineStr">
        <is>
          <t>Quote &amp; Sales</t>
        </is>
      </c>
      <c r="E67" s="5" t="inlineStr">
        <is>
          <t>P1</t>
        </is>
      </c>
      <c r="F67" s="5" t="inlineStr">
        <is>
          <t>Manual</t>
        </is>
      </c>
      <c r="G67" s="6" t="inlineStr">
        <is>
          <t>A quote in one company and a deal in another.</t>
        </is>
      </c>
      <c r="H67" s="6" t="inlineStr">
        <is>
          <t>Attempt to link them, first as a user without cross-company permission, then as one who has it.</t>
        </is>
      </c>
      <c r="I67" s="6" t="inlineStr">
        <is>
          <t>The first attempt is refused. The second completes only after a confirmation the user sees, and the exception is recorded.</t>
        </is>
      </c>
      <c r="J67" s="6" t="inlineStr">
        <is>
          <t>FR-51 / AC-QS-10</t>
        </is>
      </c>
      <c r="K67" s="5" t="inlineStr">
        <is>
          <t>Not run</t>
        </is>
      </c>
      <c r="L67" s="6" t="inlineStr"/>
      <c r="M67" s="5" t="inlineStr"/>
      <c r="N67" s="4" t="inlineStr"/>
      <c r="O67" s="4" t="inlineStr"/>
      <c r="P67" s="4" t="inlineStr"/>
      <c r="Q67" s="6" t="inlineStr"/>
      <c r="R67" s="4" t="inlineStr"/>
      <c r="S67" s="4" t="inlineStr"/>
      <c r="T67" s="4" t="inlineStr"/>
      <c r="U67" s="5" t="inlineStr"/>
      <c r="V67" s="6" t="inlineStr"/>
    </row>
    <row r="68" ht="40" customHeight="1">
      <c r="A68" s="7" t="inlineStr">
        <is>
          <t>1A-64</t>
        </is>
      </c>
      <c r="B68" s="8" t="inlineStr">
        <is>
          <t>Phase 1A</t>
        </is>
      </c>
      <c r="C68" s="8" t="inlineStr">
        <is>
          <t>Phase 1A</t>
        </is>
      </c>
      <c r="D68" s="7" t="inlineStr">
        <is>
          <t>Quote &amp; Sales</t>
        </is>
      </c>
      <c r="E68" s="8" t="inlineStr">
        <is>
          <t>P1</t>
        </is>
      </c>
      <c r="F68" s="8" t="inlineStr">
        <is>
          <t>Manual</t>
        </is>
      </c>
      <c r="G68" s="9" t="inlineStr">
        <is>
          <t>A deal with one quote option.</t>
        </is>
      </c>
      <c r="H68" s="9" t="inlineStr">
        <is>
          <t>Choose Add option, then create a new option.</t>
        </is>
      </c>
      <c r="I68" s="9" t="inlineStr">
        <is>
          <t>Nothing is created until confirmation. The new option carries the name supplied and inherits the deal's customer, project, owning company and deal reference. The option count updates and the new quote opens in the workspace.</t>
        </is>
      </c>
      <c r="J68" s="9" t="inlineStr">
        <is>
          <t>FR-54 / AC-QS-11</t>
        </is>
      </c>
      <c r="K68" s="8" t="inlineStr">
        <is>
          <t>Not run</t>
        </is>
      </c>
      <c r="L68" s="9" t="inlineStr"/>
      <c r="M68" s="8" t="inlineStr"/>
      <c r="N68" s="7" t="inlineStr"/>
      <c r="O68" s="7" t="inlineStr"/>
      <c r="P68" s="7" t="inlineStr"/>
      <c r="Q68" s="9" t="inlineStr"/>
      <c r="R68" s="7" t="inlineStr"/>
      <c r="S68" s="7" t="inlineStr"/>
      <c r="T68" s="7" t="inlineStr"/>
      <c r="U68" s="8" t="inlineStr"/>
      <c r="V68" s="9" t="inlineStr"/>
    </row>
    <row r="69" ht="40" customHeight="1">
      <c r="A69" s="4" t="inlineStr">
        <is>
          <t>1A-65</t>
        </is>
      </c>
      <c r="B69" s="5" t="inlineStr">
        <is>
          <t>Phase 1A</t>
        </is>
      </c>
      <c r="C69" s="5" t="inlineStr">
        <is>
          <t>Phase 1A</t>
        </is>
      </c>
      <c r="D69" s="4" t="inlineStr">
        <is>
          <t>Quote &amp; Sales</t>
        </is>
      </c>
      <c r="E69" s="5" t="inlineStr">
        <is>
          <t>P1</t>
        </is>
      </c>
      <c r="F69" s="5" t="inlineStr">
        <is>
          <t>Manual</t>
        </is>
      </c>
      <c r="G69" s="6" t="inlineStr">
        <is>
          <t>A deal with one option, and a compatible unlinked quote.</t>
        </is>
      </c>
      <c r="H69" s="6" t="inlineStr">
        <is>
          <t>Choose Add option, then link the existing quote instead of creating one.</t>
        </is>
      </c>
      <c r="I69" s="6" t="inlineStr">
        <is>
          <t>The existing quote becomes an option on the deal. No duplicate quote is created and the option count reflects the real number.</t>
        </is>
      </c>
      <c r="J69" s="6" t="inlineStr">
        <is>
          <t>FR-54 / AC-QS-09</t>
        </is>
      </c>
      <c r="K69" s="5" t="inlineStr">
        <is>
          <t>Not run</t>
        </is>
      </c>
      <c r="L69" s="6" t="inlineStr"/>
      <c r="M69" s="5" t="inlineStr"/>
      <c r="N69" s="4" t="inlineStr"/>
      <c r="O69" s="4" t="inlineStr"/>
      <c r="P69" s="4" t="inlineStr"/>
      <c r="Q69" s="6" t="inlineStr"/>
      <c r="R69" s="4" t="inlineStr"/>
      <c r="S69" s="4" t="inlineStr"/>
      <c r="T69" s="4" t="inlineStr"/>
      <c r="U69" s="5" t="inlineStr"/>
      <c r="V69" s="6" t="inlineStr"/>
    </row>
    <row r="70" ht="40" customHeight="1">
      <c r="A70" s="7" t="inlineStr">
        <is>
          <t>1A-66</t>
        </is>
      </c>
      <c r="B70" s="8" t="inlineStr">
        <is>
          <t>Phase 1A</t>
        </is>
      </c>
      <c r="C70" s="8" t="inlineStr">
        <is>
          <t>Phase 1A</t>
        </is>
      </c>
      <c r="D70" s="7" t="inlineStr">
        <is>
          <t>Quote &amp; Sales</t>
        </is>
      </c>
      <c r="E70" s="8" t="inlineStr">
        <is>
          <t>P1</t>
        </is>
      </c>
      <c r="F70" s="8" t="inlineStr">
        <is>
          <t>Manual</t>
        </is>
      </c>
      <c r="G70" s="9" t="inlineStr">
        <is>
          <t>A quote linked to deal A, and a second deal B in the same company.</t>
        </is>
      </c>
      <c r="H70" s="9" t="inlineStr">
        <is>
          <t>Switch the quote to deal B.</t>
        </is>
      </c>
      <c r="I70" s="9" t="inlineStr">
        <is>
          <t>Deal A's option count falls, deal B's rises, and an audit event records the quote, both deals, the actor and the time. Nothing about the quote's own content changes.</t>
        </is>
      </c>
      <c r="J70" s="9" t="inlineStr">
        <is>
          <t>FR-52, FR-53 / AC-QS-12</t>
        </is>
      </c>
      <c r="K70" s="8" t="inlineStr">
        <is>
          <t>Not run</t>
        </is>
      </c>
      <c r="L70" s="9" t="inlineStr"/>
      <c r="M70" s="8" t="inlineStr"/>
      <c r="N70" s="7" t="inlineStr"/>
      <c r="O70" s="7" t="inlineStr"/>
      <c r="P70" s="7" t="inlineStr"/>
      <c r="Q70" s="9" t="inlineStr"/>
      <c r="R70" s="7" t="inlineStr"/>
      <c r="S70" s="7" t="inlineStr"/>
      <c r="T70" s="7" t="inlineStr"/>
      <c r="U70" s="8" t="inlineStr"/>
      <c r="V70" s="9" t="inlineStr"/>
    </row>
    <row r="71" ht="40" customHeight="1">
      <c r="A71" s="4" t="inlineStr">
        <is>
          <t>1A-67</t>
        </is>
      </c>
      <c r="B71" s="5" t="inlineStr">
        <is>
          <t>Phase 1A</t>
        </is>
      </c>
      <c r="C71" s="5" t="inlineStr">
        <is>
          <t>Phase 1A</t>
        </is>
      </c>
      <c r="D71" s="4" t="inlineStr">
        <is>
          <t>Quote &amp; Sales</t>
        </is>
      </c>
      <c r="E71" s="5" t="inlineStr">
        <is>
          <t>P1</t>
        </is>
      </c>
      <c r="F71" s="5" t="inlineStr">
        <is>
          <t>Manual</t>
        </is>
      </c>
      <c r="G71" s="6" t="inlineStr">
        <is>
          <t>A quote linked to a Won deal.</t>
        </is>
      </c>
      <c r="H71" s="6" t="inlineStr">
        <is>
          <t>Attempt to switch it to another deal.</t>
        </is>
      </c>
      <c r="I71" s="6" t="inlineStr">
        <is>
          <t>The attempt is refused, or is allowed only through an explicit protected path. Either way the Won outcome and its history survive intact.</t>
        </is>
      </c>
      <c r="J71" s="6" t="inlineStr">
        <is>
          <t>FR-52 / AC-QS-12</t>
        </is>
      </c>
      <c r="K71" s="5" t="inlineStr">
        <is>
          <t>Not run</t>
        </is>
      </c>
      <c r="L71" s="6" t="inlineStr"/>
      <c r="M71" s="5" t="inlineStr"/>
      <c r="N71" s="4" t="inlineStr"/>
      <c r="O71" s="4" t="inlineStr"/>
      <c r="P71" s="4" t="inlineStr"/>
      <c r="Q71" s="6" t="inlineStr"/>
      <c r="R71" s="4" t="inlineStr"/>
      <c r="S71" s="4" t="inlineStr"/>
      <c r="T71" s="4" t="inlineStr"/>
      <c r="U71" s="5" t="inlineStr"/>
      <c r="V71" s="6" t="inlineStr"/>
    </row>
    <row r="72" ht="40" customHeight="1">
      <c r="A72" s="7" t="inlineStr">
        <is>
          <t>1A-68</t>
        </is>
      </c>
      <c r="B72" s="8" t="inlineStr">
        <is>
          <t>Phase 1A</t>
        </is>
      </c>
      <c r="C72" s="8" t="inlineStr">
        <is>
          <t>Phase 1A</t>
        </is>
      </c>
      <c r="D72" s="7" t="inlineStr">
        <is>
          <t>Quote &amp; Sales</t>
        </is>
      </c>
      <c r="E72" s="8" t="inlineStr">
        <is>
          <t>P1</t>
        </is>
      </c>
      <c r="F72" s="8" t="inlineStr">
        <is>
          <t>Manual</t>
        </is>
      </c>
      <c r="G72" s="9" t="inlineStr">
        <is>
          <t>A quote linked to a deal with two options.</t>
        </is>
      </c>
      <c r="H72" s="9" t="inlineStr">
        <is>
          <t>Unlink the quote.</t>
        </is>
      </c>
      <c r="I72" s="9" t="inlineStr">
        <is>
          <t>Both the quote and the deal remain valid independent records, the deal no longer counts the removed option, and an audit event is written.</t>
        </is>
      </c>
      <c r="J72" s="9" t="inlineStr">
        <is>
          <t>FR-55 / AC-QS-13</t>
        </is>
      </c>
      <c r="K72" s="8" t="inlineStr">
        <is>
          <t>Not run</t>
        </is>
      </c>
      <c r="L72" s="9" t="inlineStr"/>
      <c r="M72" s="8" t="inlineStr"/>
      <c r="N72" s="7" t="inlineStr"/>
      <c r="O72" s="7" t="inlineStr"/>
      <c r="P72" s="7" t="inlineStr"/>
      <c r="Q72" s="9" t="inlineStr"/>
      <c r="R72" s="7" t="inlineStr"/>
      <c r="S72" s="7" t="inlineStr"/>
      <c r="T72" s="7" t="inlineStr"/>
      <c r="U72" s="8" t="inlineStr"/>
      <c r="V72" s="9" t="inlineStr"/>
    </row>
    <row r="73" ht="40" customHeight="1">
      <c r="A73" s="4" t="inlineStr">
        <is>
          <t>1A-69</t>
        </is>
      </c>
      <c r="B73" s="5" t="inlineStr">
        <is>
          <t>Phase 1A</t>
        </is>
      </c>
      <c r="C73" s="5" t="inlineStr">
        <is>
          <t>Phase 1A</t>
        </is>
      </c>
      <c r="D73" s="4" t="inlineStr">
        <is>
          <t>Quote &amp; Sales</t>
        </is>
      </c>
      <c r="E73" s="5" t="inlineStr">
        <is>
          <t>P1</t>
        </is>
      </c>
      <c r="F73" s="5" t="inlineStr">
        <is>
          <t>Manual</t>
        </is>
      </c>
      <c r="G73" s="6" t="inlineStr">
        <is>
          <t>A quote linked to a deal that holds three options.</t>
        </is>
      </c>
      <c r="H73" s="6" t="inlineStr">
        <is>
          <t>Go quote to deal with View Deal, then back to the same quote from the deal.</t>
        </is>
      </c>
      <c r="I73" s="6" t="inlineStr">
        <is>
          <t>Both directions land on the correct record and the round trip returns to the quote it started from. Neither step reaches an unrelated pipeline or the retired standalone quote page.</t>
        </is>
      </c>
      <c r="J73" s="6" t="inlineStr">
        <is>
          <t>FR-56 / AC-QS-14</t>
        </is>
      </c>
      <c r="K73" s="5" t="inlineStr">
        <is>
          <t>Not run</t>
        </is>
      </c>
      <c r="L73" s="6" t="inlineStr"/>
      <c r="M73" s="5" t="inlineStr"/>
      <c r="N73" s="4" t="inlineStr"/>
      <c r="O73" s="4" t="inlineStr"/>
      <c r="P73" s="4" t="inlineStr"/>
      <c r="Q73" s="6" t="inlineStr"/>
      <c r="R73" s="4" t="inlineStr"/>
      <c r="S73" s="4" t="inlineStr"/>
      <c r="T73" s="4" t="inlineStr"/>
      <c r="U73" s="5" t="inlineStr"/>
      <c r="V73" s="6" t="inlineStr"/>
    </row>
    <row r="74" ht="40" customHeight="1">
      <c r="A74" s="7" t="inlineStr">
        <is>
          <t>1A-70</t>
        </is>
      </c>
      <c r="B74" s="8" t="inlineStr">
        <is>
          <t>Phase 1A</t>
        </is>
      </c>
      <c r="C74" s="8" t="inlineStr">
        <is>
          <t>Phase 1A</t>
        </is>
      </c>
      <c r="D74" s="7" t="inlineStr">
        <is>
          <t>Quote &amp; Sales</t>
        </is>
      </c>
      <c r="E74" s="8" t="inlineStr">
        <is>
          <t>P1</t>
        </is>
      </c>
      <c r="F74" s="8" t="inlineStr">
        <is>
          <t>Manual</t>
        </is>
      </c>
      <c r="G74" s="9" t="inlineStr">
        <is>
          <t>A migrated quote whose owning company was never set.</t>
        </is>
      </c>
      <c r="H74" s="9" t="inlineStr">
        <is>
          <t>Open the Quotes list as a user in a different company.</t>
        </is>
      </c>
      <c r="I74" s="9" t="inlineStr">
        <is>
          <t>The quote is flagged for migration rather than shown. It never appears as belonging to the signed-in user's company.</t>
        </is>
      </c>
      <c r="J74" s="9" t="inlineStr">
        <is>
          <t>FR-47 / AC-QS-07</t>
        </is>
      </c>
      <c r="K74" s="8" t="inlineStr">
        <is>
          <t>Not run</t>
        </is>
      </c>
      <c r="L74" s="9" t="inlineStr"/>
      <c r="M74" s="8" t="inlineStr"/>
      <c r="N74" s="7" t="inlineStr"/>
      <c r="O74" s="7" t="inlineStr"/>
      <c r="P74" s="7" t="inlineStr"/>
      <c r="Q74" s="9" t="inlineStr"/>
      <c r="R74" s="7" t="inlineStr"/>
      <c r="S74" s="7" t="inlineStr"/>
      <c r="T74" s="7" t="inlineStr"/>
      <c r="U74" s="8" t="inlineStr"/>
      <c r="V74" s="9" t="inlineStr"/>
    </row>
    <row r="75" ht="40" customHeight="1">
      <c r="A75" s="4" t="inlineStr">
        <is>
          <t>1A-71</t>
        </is>
      </c>
      <c r="B75" s="5" t="inlineStr">
        <is>
          <t>Phase 1A</t>
        </is>
      </c>
      <c r="C75" s="5" t="inlineStr">
        <is>
          <t>Phase 1A</t>
        </is>
      </c>
      <c r="D75" s="4" t="inlineStr">
        <is>
          <t>Quote &amp; Sales</t>
        </is>
      </c>
      <c r="E75" s="5" t="inlineStr">
        <is>
          <t>P1</t>
        </is>
      </c>
      <c r="F75" s="5" t="inlineStr">
        <is>
          <t>Automated</t>
        </is>
      </c>
      <c r="G75" s="6" t="inlineStr">
        <is>
          <t>A deal with three options; one has just been accepted.</t>
        </is>
      </c>
      <c r="H75" s="6" t="inlineStr">
        <is>
          <t>Replay the acceptance event.</t>
        </is>
      </c>
      <c r="I75" s="6" t="inlineStr">
        <is>
          <t>The replay is recognised as already handled. No second invoice, activity entry or stage transition is produced, and the sibling outcomes are unchanged.</t>
        </is>
      </c>
      <c r="J75" s="6" t="inlineStr">
        <is>
          <t>FR-17 / AC-DEAL-07</t>
        </is>
      </c>
      <c r="K75" s="5" t="inlineStr">
        <is>
          <t>Not run</t>
        </is>
      </c>
      <c r="L75" s="6" t="inlineStr"/>
      <c r="M75" s="5" t="inlineStr"/>
      <c r="N75" s="4" t="inlineStr"/>
      <c r="O75" s="4" t="inlineStr"/>
      <c r="P75" s="4" t="inlineStr"/>
      <c r="Q75" s="6" t="inlineStr"/>
      <c r="R75" s="4" t="inlineStr"/>
      <c r="S75" s="4" t="inlineStr"/>
      <c r="T75" s="4" t="inlineStr"/>
      <c r="U75" s="5" t="inlineStr"/>
      <c r="V75" s="6" t="inlineStr"/>
    </row>
    <row r="76" ht="40" customHeight="1">
      <c r="A76" s="7" t="inlineStr">
        <is>
          <t>1A-72</t>
        </is>
      </c>
      <c r="B76" s="8" t="inlineStr">
        <is>
          <t>Phase 1A</t>
        </is>
      </c>
      <c r="C76" s="8" t="inlineStr">
        <is>
          <t>Phase 1A</t>
        </is>
      </c>
      <c r="D76" s="7" t="inlineStr">
        <is>
          <t>Quote &amp; Sales</t>
        </is>
      </c>
      <c r="E76" s="8" t="inlineStr">
        <is>
          <t>P1</t>
        </is>
      </c>
      <c r="F76" s="8" t="inlineStr">
        <is>
          <t>Manual</t>
        </is>
      </c>
      <c r="G76" s="9" t="inlineStr">
        <is>
          <t>A quote workspace open on one option, with a sibling option on the same deal.</t>
        </is>
      </c>
      <c r="H76" s="9" t="inlineStr">
        <is>
          <t>Switch to the sibling option, open a different workspace section, then copy the address and open it in a fresh session.</t>
        </is>
      </c>
      <c r="I76" s="9" t="inlineStr">
        <is>
          <t>The address follows the record and the section the whole way. The copied link opens the option and section that were on screen, not whichever quote the workspace was first opened with, and a refresh does the same.</t>
        </is>
      </c>
      <c r="J76" s="9" t="inlineStr">
        <is>
          <t>FR-57 / AC-QS-15</t>
        </is>
      </c>
      <c r="K76" s="8" t="inlineStr">
        <is>
          <t>Not run</t>
        </is>
      </c>
      <c r="L76" s="9" t="inlineStr"/>
      <c r="M76" s="8" t="inlineStr"/>
      <c r="N76" s="7" t="inlineStr"/>
      <c r="O76" s="7" t="inlineStr"/>
      <c r="P76" s="7" t="inlineStr"/>
      <c r="Q76" s="9" t="inlineStr"/>
      <c r="R76" s="7" t="inlineStr"/>
      <c r="S76" s="7" t="inlineStr"/>
      <c r="T76" s="7" t="inlineStr"/>
      <c r="U76" s="8" t="inlineStr"/>
      <c r="V76" s="9" t="inlineStr"/>
    </row>
  </sheetData>
  <autoFilter ref="A4:V76"/>
  <conditionalFormatting sqref="K5:K7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76" showDropDown="0" showInputMessage="0" showErrorMessage="0" allowBlank="0" type="list">
      <formula1>"Not run,Pass,Fail,Blocked,N/A"</formula1>
    </dataValidation>
    <dataValidation sqref="E5:E76" showDropDown="0" showInputMessage="0" showErrorMessage="0" allowBlank="0" type="list">
      <formula1>"P1,P2,P3"</formula1>
    </dataValidation>
    <dataValidation sqref="F5:F76" showDropDown="0" showInputMessage="0" showErrorMessage="0" allowBlank="0" type="list">
      <formula1>"Manual,Automated,Both"</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9"/>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Phase 1B</t>
        </is>
      </c>
    </row>
    <row r="2">
      <c r="A2" s="2" t="inlineStr">
        <is>
          <t>Managed recipes — settings without the canvas, versioning, idempotency, timed work, approvals and Deal-card output.</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1B-01</t>
        </is>
      </c>
      <c r="B5" s="5" t="inlineStr">
        <is>
          <t>Phase 1B</t>
        </is>
      </c>
      <c r="C5" s="5" t="inlineStr">
        <is>
          <t>Phase 1B</t>
        </is>
      </c>
      <c r="D5" s="4" t="inlineStr">
        <is>
          <t>Recipe setup</t>
        </is>
      </c>
      <c r="E5" s="5" t="inlineStr">
        <is>
          <t>P1</t>
        </is>
      </c>
      <c r="F5" s="5" t="inlineStr">
        <is>
          <t>Manual</t>
        </is>
      </c>
      <c r="G5" s="6" t="inlineStr">
        <is>
          <t>Phase 1B build.</t>
        </is>
      </c>
      <c r="H5" s="6" t="inlineStr">
        <is>
          <t>Enable a recipe and change owner, wait days and label.</t>
        </is>
      </c>
      <c r="I5" s="6" t="inlineStr">
        <is>
          <t>Every exposed setting can be changed and saved from the recipe form. The canvas is never opened, and the saved values are reflected the next time the recipe runs.</t>
        </is>
      </c>
      <c r="J5" s="6" t="inlineStr">
        <is>
          <t>FR-02</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1B-02</t>
        </is>
      </c>
      <c r="B6" s="8" t="inlineStr">
        <is>
          <t>Phase 1B</t>
        </is>
      </c>
      <c r="C6" s="8" t="inlineStr">
        <is>
          <t>Phase 1B</t>
        </is>
      </c>
      <c r="D6" s="7" t="inlineStr">
        <is>
          <t>Recipe setup</t>
        </is>
      </c>
      <c r="E6" s="8" t="inlineStr">
        <is>
          <t>P1</t>
        </is>
      </c>
      <c r="F6" s="8" t="inlineStr">
        <is>
          <t>Manual</t>
        </is>
      </c>
      <c r="G6" s="9" t="inlineStr">
        <is>
          <t>Creating a recipe.</t>
        </is>
      </c>
      <c r="H6" s="9" t="inlineStr">
        <is>
          <t>Save without choosing a company scope.</t>
        </is>
      </c>
      <c r="I6" s="9" t="inlineStr">
        <is>
          <t>Blocked. Scope is required and defaults to All Companies.</t>
        </is>
      </c>
      <c r="J6" s="9" t="inlineStr">
        <is>
          <t>FR-09 / AC-BLD-04</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1B-03</t>
        </is>
      </c>
      <c r="B7" s="5" t="inlineStr">
        <is>
          <t>Phase 1B</t>
        </is>
      </c>
      <c r="C7" s="5" t="inlineStr">
        <is>
          <t>Phase 1B</t>
        </is>
      </c>
      <c r="D7" s="4" t="inlineStr">
        <is>
          <t>Recipe setup</t>
        </is>
      </c>
      <c r="E7" s="5" t="inlineStr">
        <is>
          <t>P2</t>
        </is>
      </c>
      <c r="F7" s="5" t="inlineStr">
        <is>
          <t>Manual</t>
        </is>
      </c>
      <c r="G7" s="6" t="inlineStr">
        <is>
          <t>A recipe with company scope set.</t>
        </is>
      </c>
      <c r="H7" s="6" t="inlineStr">
        <is>
          <t>Check every surface that lists it.</t>
        </is>
      </c>
      <c r="I7" s="6" t="inlineStr">
        <is>
          <t>Scope visible in list, editor, comparison, publish and history.</t>
        </is>
      </c>
      <c r="J7" s="6" t="inlineStr">
        <is>
          <t>FR-10</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1B-04</t>
        </is>
      </c>
      <c r="B8" s="8" t="inlineStr">
        <is>
          <t>Phase 1B</t>
        </is>
      </c>
      <c r="C8" s="8" t="inlineStr">
        <is>
          <t>Phase 1B</t>
        </is>
      </c>
      <c r="D8" s="7" t="inlineStr">
        <is>
          <t>Recipe setup</t>
        </is>
      </c>
      <c r="E8" s="8" t="inlineStr">
        <is>
          <t>P1</t>
        </is>
      </c>
      <c r="F8" s="8" t="inlineStr">
        <is>
          <t>Automated</t>
        </is>
      </c>
      <c r="G8" s="9" t="inlineStr">
        <is>
          <t>A recipe scoped to one company.</t>
        </is>
      </c>
      <c r="H8" s="9" t="inlineStr">
        <is>
          <t>Trigger the matching event in another company.</t>
        </is>
      </c>
      <c r="I8" s="9" t="inlineStr">
        <is>
          <t>The recipe does not run. No note, task or notification is created, and nothing is written to that Deal's history.</t>
        </is>
      </c>
      <c r="J8" s="9" t="inlineStr">
        <is>
          <t>FR-15 / AC-RUN-06</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1B-05</t>
        </is>
      </c>
      <c r="B9" s="5" t="inlineStr">
        <is>
          <t>Phase 1B</t>
        </is>
      </c>
      <c r="C9" s="5" t="inlineStr">
        <is>
          <t>Phase 1B</t>
        </is>
      </c>
      <c r="D9" s="4" t="inlineStr">
        <is>
          <t>Versioning</t>
        </is>
      </c>
      <c r="E9" s="5" t="inlineStr">
        <is>
          <t>P1</t>
        </is>
      </c>
      <c r="F9" s="5" t="inlineStr">
        <is>
          <t>Automated</t>
        </is>
      </c>
      <c r="G9" s="6" t="inlineStr">
        <is>
          <t>A published recipe.</t>
        </is>
      </c>
      <c r="H9" s="6" t="inlineStr">
        <is>
          <t>Change a setting and save without publishing.</t>
        </is>
      </c>
      <c r="I9" s="6" t="inlineStr">
        <is>
          <t>The live version keeps running. The change is held as a draft.</t>
        </is>
      </c>
      <c r="J9" s="6" t="inlineStr">
        <is>
          <t>FR-11 / AC-BLD-08</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1B-06</t>
        </is>
      </c>
      <c r="B10" s="8" t="inlineStr">
        <is>
          <t>Phase 1B</t>
        </is>
      </c>
      <c r="C10" s="8" t="inlineStr">
        <is>
          <t>Phase 1B</t>
        </is>
      </c>
      <c r="D10" s="7" t="inlineStr">
        <is>
          <t>Versioning</t>
        </is>
      </c>
      <c r="E10" s="8" t="inlineStr">
        <is>
          <t>P1</t>
        </is>
      </c>
      <c r="F10" s="8" t="inlineStr">
        <is>
          <t>Automated</t>
        </is>
      </c>
      <c r="G10" s="9" t="inlineStr">
        <is>
          <t>A recipe with work already waiting.</t>
        </is>
      </c>
      <c r="H10" s="9" t="inlineStr">
        <is>
          <t>Publish a new version.</t>
        </is>
      </c>
      <c r="I10" s="9" t="inlineStr">
        <is>
          <t>Work in flight finishes on the version it started with.</t>
        </is>
      </c>
      <c r="J10" s="9" t="inlineStr">
        <is>
          <t>A15</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1B-07</t>
        </is>
      </c>
      <c r="B11" s="5" t="inlineStr">
        <is>
          <t>Phase 1B</t>
        </is>
      </c>
      <c r="C11" s="5" t="inlineStr">
        <is>
          <t>Phase 1B</t>
        </is>
      </c>
      <c r="D11" s="4" t="inlineStr">
        <is>
          <t>Versioning</t>
        </is>
      </c>
      <c r="E11" s="5" t="inlineStr">
        <is>
          <t>P1</t>
        </is>
      </c>
      <c r="F11" s="5" t="inlineStr">
        <is>
          <t>Manual</t>
        </is>
      </c>
      <c r="G11" s="6" t="inlineStr">
        <is>
          <t>Phase 1B build.</t>
        </is>
      </c>
      <c r="H11" s="6" t="inlineStr">
        <is>
          <t>Restart the server, then read a saved recipe and its versions.</t>
        </is>
      </c>
      <c r="I11" s="6" t="inlineStr">
        <is>
          <t>The recipe and all its versions load exactly as before the restart. Nothing depended on the browser, and any work that was waiting is still waiting.</t>
        </is>
      </c>
      <c r="J11" s="6" t="inlineStr">
        <is>
          <t>FR-40</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1B-08</t>
        </is>
      </c>
      <c r="B12" s="8" t="inlineStr">
        <is>
          <t>Phase 1B</t>
        </is>
      </c>
      <c r="C12" s="8" t="inlineStr">
        <is>
          <t>Phase 1B</t>
        </is>
      </c>
      <c r="D12" s="7" t="inlineStr">
        <is>
          <t>Retry creates nothing twice</t>
        </is>
      </c>
      <c r="E12" s="8" t="inlineStr">
        <is>
          <t>P1</t>
        </is>
      </c>
      <c r="F12" s="8" t="inlineStr">
        <is>
          <t>Automated</t>
        </is>
      </c>
      <c r="G12" s="9" t="inlineStr">
        <is>
          <t>A recipe creating a note, a next action and a file request.</t>
        </is>
      </c>
      <c r="H12" s="9" t="inlineStr">
        <is>
          <t>Replay the same source event three times.</t>
        </is>
      </c>
      <c r="I12" s="9" t="inlineStr">
        <is>
          <t>Exactly one note, one next action and one file request exist. The run history shows three receipts of the same event and two of them recorded as already handled.</t>
        </is>
      </c>
      <c r="J12" s="9" t="inlineStr">
        <is>
          <t>FR-21 / AC-RUN-04</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1B-09</t>
        </is>
      </c>
      <c r="B13" s="5" t="inlineStr">
        <is>
          <t>Phase 1B</t>
        </is>
      </c>
      <c r="C13" s="5" t="inlineStr">
        <is>
          <t>Phase 1B</t>
        </is>
      </c>
      <c r="D13" s="4" t="inlineStr">
        <is>
          <t>Timed work</t>
        </is>
      </c>
      <c r="E13" s="5" t="inlineStr">
        <is>
          <t>P1</t>
        </is>
      </c>
      <c r="F13" s="5" t="inlineStr">
        <is>
          <t>Automated</t>
        </is>
      </c>
      <c r="G13" s="6" t="inlineStr">
        <is>
          <t>Sent quote follow-up, three working days.</t>
        </is>
      </c>
      <c r="H13" s="6" t="inlineStr">
        <is>
          <t>Send a quote on a Friday.</t>
        </is>
      </c>
      <c r="I13" s="6" t="inlineStr">
        <is>
          <t>Fires the following Wednesday, counting working days only.</t>
        </is>
      </c>
      <c r="J13" s="6" t="inlineStr">
        <is>
          <t>FR-36</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1B-10</t>
        </is>
      </c>
      <c r="B14" s="8" t="inlineStr">
        <is>
          <t>Phase 1B</t>
        </is>
      </c>
      <c r="C14" s="8" t="inlineStr">
        <is>
          <t>Phase 1B</t>
        </is>
      </c>
      <c r="D14" s="7" t="inlineStr">
        <is>
          <t>Timed work</t>
        </is>
      </c>
      <c r="E14" s="8" t="inlineStr">
        <is>
          <t>P1</t>
        </is>
      </c>
      <c r="F14" s="8" t="inlineStr">
        <is>
          <t>Automated</t>
        </is>
      </c>
      <c r="G14" s="9" t="inlineStr">
        <is>
          <t>A recipe waiting on a Deal.</t>
        </is>
      </c>
      <c r="H14" s="9" t="inlineStr">
        <is>
          <t>Move the Deal out of the stage before the wait ends.</t>
        </is>
      </c>
      <c r="I14" s="9" t="inlineStr">
        <is>
          <t>The pending run is cancelled or revalidated; it does not fire against the wrong stage.</t>
        </is>
      </c>
      <c r="J14" s="9" t="inlineStr">
        <is>
          <t>FR-36</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1B-11</t>
        </is>
      </c>
      <c r="B15" s="5" t="inlineStr">
        <is>
          <t>Phase 1B</t>
        </is>
      </c>
      <c r="C15" s="5" t="inlineStr">
        <is>
          <t>Phase 1B</t>
        </is>
      </c>
      <c r="D15" s="4" t="inlineStr">
        <is>
          <t>Timed work</t>
        </is>
      </c>
      <c r="E15" s="5" t="inlineStr">
        <is>
          <t>P2</t>
        </is>
      </c>
      <c r="F15" s="5" t="inlineStr">
        <is>
          <t>Automated</t>
        </is>
      </c>
      <c r="G15" s="6" t="inlineStr">
        <is>
          <t>A wait spanning a daylight-saving change.</t>
        </is>
      </c>
      <c r="H15" s="6" t="inlineStr">
        <is>
          <t>Let the wait elapse.</t>
        </is>
      </c>
      <c r="I15" s="6" t="inlineStr">
        <is>
          <t>It fires at the intended local time, not an hour early or late.</t>
        </is>
      </c>
      <c r="J15" s="6" t="inlineStr">
        <is>
          <t>FR-36</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1B-12</t>
        </is>
      </c>
      <c r="B16" s="8" t="inlineStr">
        <is>
          <t>Phase 1B</t>
        </is>
      </c>
      <c r="C16" s="8" t="inlineStr">
        <is>
          <t>Phase 1B</t>
        </is>
      </c>
      <c r="D16" s="7" t="inlineStr">
        <is>
          <t>Timed work</t>
        </is>
      </c>
      <c r="E16" s="8" t="inlineStr">
        <is>
          <t>P1</t>
        </is>
      </c>
      <c r="F16" s="8" t="inlineStr">
        <is>
          <t>Manual</t>
        </is>
      </c>
      <c r="G16" s="9" t="inlineStr">
        <is>
          <t>Event-driven recipes only; work queue not yet built.</t>
        </is>
      </c>
      <c r="H16" s="9" t="inlineStr">
        <is>
          <t>Trigger a quote-sent recipe.</t>
        </is>
      </c>
      <c r="I16" s="9" t="inlineStr">
        <is>
          <t>It runs. Event-driven recipes are not blocked by the queue.</t>
        </is>
      </c>
      <c r="J16" s="9" t="inlineStr">
        <is>
          <t>FR-36</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1B-13</t>
        </is>
      </c>
      <c r="B17" s="5" t="inlineStr">
        <is>
          <t>Phase 1B</t>
        </is>
      </c>
      <c r="C17" s="5" t="inlineStr">
        <is>
          <t>Phase 1B</t>
        </is>
      </c>
      <c r="D17" s="4" t="inlineStr">
        <is>
          <t>Timed work</t>
        </is>
      </c>
      <c r="E17" s="5" t="inlineStr">
        <is>
          <t>P1</t>
        </is>
      </c>
      <c r="F17" s="5" t="inlineStr">
        <is>
          <t>Manual</t>
        </is>
      </c>
      <c r="G17" s="6" t="inlineStr">
        <is>
          <t>Work queue not yet built.</t>
        </is>
      </c>
      <c r="H17" s="6" t="inlineStr">
        <is>
          <t>Try to switch on a timed recipe.</t>
        </is>
      </c>
      <c r="I17" s="6" t="inlineStr">
        <is>
          <t>The recipe cannot be switched on at all. It is shown as unavailable with the reason given, rather than offered as an inactive toggle.</t>
        </is>
      </c>
      <c r="J17" s="6" t="inlineStr">
        <is>
          <t>A14</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1B-14</t>
        </is>
      </c>
      <c r="B18" s="8" t="inlineStr">
        <is>
          <t>Phase 1B</t>
        </is>
      </c>
      <c r="C18" s="8" t="inlineStr">
        <is>
          <t>Phase 1B</t>
        </is>
      </c>
      <c r="D18" s="7" t="inlineStr">
        <is>
          <t>Approval</t>
        </is>
      </c>
      <c r="E18" s="8" t="inlineStr">
        <is>
          <t>P1</t>
        </is>
      </c>
      <c r="F18" s="8" t="inlineStr">
        <is>
          <t>Automated</t>
        </is>
      </c>
      <c r="G18" s="9" t="inlineStr">
        <is>
          <t>High-value approval; value threshold GBP 25,000.</t>
        </is>
      </c>
      <c r="H18" s="9" t="inlineStr">
        <is>
          <t>Pass review on a quote of GBP 24,999.</t>
        </is>
      </c>
      <c r="I18" s="9" t="inlineStr">
        <is>
          <t>No approval note is raised, and the quote proceeds normally.</t>
        </is>
      </c>
      <c r="J18" s="9" t="inlineStr">
        <is>
          <t>D7</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1B-15</t>
        </is>
      </c>
      <c r="B19" s="5" t="inlineStr">
        <is>
          <t>Phase 1B</t>
        </is>
      </c>
      <c r="C19" s="5" t="inlineStr">
        <is>
          <t>Phase 1B</t>
        </is>
      </c>
      <c r="D19" s="4" t="inlineStr">
        <is>
          <t>Approval</t>
        </is>
      </c>
      <c r="E19" s="5" t="inlineStr">
        <is>
          <t>P1</t>
        </is>
      </c>
      <c r="F19" s="5" t="inlineStr">
        <is>
          <t>Automated</t>
        </is>
      </c>
      <c r="G19" s="6" t="inlineStr">
        <is>
          <t>Same threshold.</t>
        </is>
      </c>
      <c r="H19" s="6" t="inlineStr">
        <is>
          <t>Pass review on a quote of exactly GBP 25,000.</t>
        </is>
      </c>
      <c r="I19" s="6" t="inlineStr">
        <is>
          <t>Behaviour matches the documented boundary rule, and the rule is stated in the recipe.</t>
        </is>
      </c>
      <c r="J19" s="6" t="inlineStr">
        <is>
          <t>D7</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1B-16</t>
        </is>
      </c>
      <c r="B20" s="8" t="inlineStr">
        <is>
          <t>Phase 1B</t>
        </is>
      </c>
      <c r="C20" s="8" t="inlineStr">
        <is>
          <t>Phase 1B</t>
        </is>
      </c>
      <c r="D20" s="7" t="inlineStr">
        <is>
          <t>Approval</t>
        </is>
      </c>
      <c r="E20" s="8" t="inlineStr">
        <is>
          <t>P1</t>
        </is>
      </c>
      <c r="F20" s="8" t="inlineStr">
        <is>
          <t>Automated</t>
        </is>
      </c>
      <c r="G20" s="9" t="inlineStr">
        <is>
          <t>Same threshold.</t>
        </is>
      </c>
      <c r="H20" s="9" t="inlineStr">
        <is>
          <t>Pass review on a quote of GBP 25,001.</t>
        </is>
      </c>
      <c r="I20" s="9" t="inlineStr">
        <is>
          <t>An approval note is raised to the approver named by D7.</t>
        </is>
      </c>
      <c r="J20" s="9" t="inlineStr">
        <is>
          <t>D7</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row r="21" ht="40" customHeight="1">
      <c r="A21" s="4" t="inlineStr">
        <is>
          <t>1B-17</t>
        </is>
      </c>
      <c r="B21" s="5" t="inlineStr">
        <is>
          <t>Phase 1B</t>
        </is>
      </c>
      <c r="C21" s="5" t="inlineStr">
        <is>
          <t>Phase 1B</t>
        </is>
      </c>
      <c r="D21" s="4" t="inlineStr">
        <is>
          <t>Approval</t>
        </is>
      </c>
      <c r="E21" s="5" t="inlineStr">
        <is>
          <t>P1</t>
        </is>
      </c>
      <c r="F21" s="5" t="inlineStr">
        <is>
          <t>Automated</t>
        </is>
      </c>
      <c r="G21" s="6" t="inlineStr">
        <is>
          <t>Discount threshold 15%.</t>
        </is>
      </c>
      <c r="H21" s="6" t="inlineStr">
        <is>
          <t>Pass review on a quote at 16% discount but below the value threshold.</t>
        </is>
      </c>
      <c r="I21" s="6" t="inlineStr">
        <is>
          <t>An approval note is raised. The OR condition fires on either limb.</t>
        </is>
      </c>
      <c r="J21" s="6" t="inlineStr">
        <is>
          <t>D7</t>
        </is>
      </c>
      <c r="K21" s="5" t="inlineStr">
        <is>
          <t>Not run</t>
        </is>
      </c>
      <c r="L21" s="6" t="inlineStr"/>
      <c r="M21" s="5" t="inlineStr"/>
      <c r="N21" s="4" t="inlineStr"/>
      <c r="O21" s="4" t="inlineStr"/>
      <c r="P21" s="4" t="inlineStr"/>
      <c r="Q21" s="6" t="inlineStr"/>
      <c r="R21" s="4" t="inlineStr"/>
      <c r="S21" s="4" t="inlineStr"/>
      <c r="T21" s="4" t="inlineStr"/>
      <c r="U21" s="5" t="inlineStr"/>
      <c r="V21" s="6" t="inlineStr"/>
    </row>
    <row r="22" ht="40" customHeight="1">
      <c r="A22" s="7" t="inlineStr">
        <is>
          <t>1B-18</t>
        </is>
      </c>
      <c r="B22" s="8" t="inlineStr">
        <is>
          <t>Phase 1B</t>
        </is>
      </c>
      <c r="C22" s="8" t="inlineStr">
        <is>
          <t>Phase 1B</t>
        </is>
      </c>
      <c r="D22" s="7" t="inlineStr">
        <is>
          <t>Approval</t>
        </is>
      </c>
      <c r="E22" s="8" t="inlineStr">
        <is>
          <t>P1</t>
        </is>
      </c>
      <c r="F22" s="8" t="inlineStr">
        <is>
          <t>Automated</t>
        </is>
      </c>
      <c r="G22" s="9" t="inlineStr">
        <is>
          <t>Both thresholds exceeded.</t>
        </is>
      </c>
      <c r="H22" s="9" t="inlineStr">
        <is>
          <t>Pass review.</t>
        </is>
      </c>
      <c r="I22" s="9" t="inlineStr">
        <is>
          <t>Exactly one approval note is raised, not one per limb of the condition.</t>
        </is>
      </c>
      <c r="J22" s="9" t="inlineStr">
        <is>
          <t>D7</t>
        </is>
      </c>
      <c r="K22" s="8" t="inlineStr">
        <is>
          <t>Not run</t>
        </is>
      </c>
      <c r="L22" s="9" t="inlineStr"/>
      <c r="M22" s="8" t="inlineStr"/>
      <c r="N22" s="7" t="inlineStr"/>
      <c r="O22" s="7" t="inlineStr"/>
      <c r="P22" s="7" t="inlineStr"/>
      <c r="Q22" s="9" t="inlineStr"/>
      <c r="R22" s="7" t="inlineStr"/>
      <c r="S22" s="7" t="inlineStr"/>
      <c r="T22" s="7" t="inlineStr"/>
      <c r="U22" s="8" t="inlineStr"/>
      <c r="V22" s="9" t="inlineStr"/>
    </row>
    <row r="23" ht="40" customHeight="1">
      <c r="A23" s="4" t="inlineStr">
        <is>
          <t>1B-19</t>
        </is>
      </c>
      <c r="B23" s="5" t="inlineStr">
        <is>
          <t>Phase 1B</t>
        </is>
      </c>
      <c r="C23" s="5" t="inlineStr">
        <is>
          <t>Phase 1B</t>
        </is>
      </c>
      <c r="D23" s="4" t="inlineStr">
        <is>
          <t>Approval</t>
        </is>
      </c>
      <c r="E23" s="5" t="inlineStr">
        <is>
          <t>P2</t>
        </is>
      </c>
      <c r="F23" s="5" t="inlineStr">
        <is>
          <t>Manual</t>
        </is>
      </c>
      <c r="G23" s="6" t="inlineStr">
        <is>
          <t>An approval already configured.</t>
        </is>
      </c>
      <c r="H23" s="6" t="inlineStr">
        <is>
          <t>Change the configured threshold and re-run.</t>
        </is>
      </c>
      <c r="I23" s="6" t="inlineStr">
        <is>
          <t>The new threshold applies. Existing pending work is unaffected.</t>
        </is>
      </c>
      <c r="J23" s="6" t="inlineStr">
        <is>
          <t>D7</t>
        </is>
      </c>
      <c r="K23" s="5" t="inlineStr">
        <is>
          <t>Not run</t>
        </is>
      </c>
      <c r="L23" s="6" t="inlineStr"/>
      <c r="M23" s="5" t="inlineStr"/>
      <c r="N23" s="4" t="inlineStr"/>
      <c r="O23" s="4" t="inlineStr"/>
      <c r="P23" s="4" t="inlineStr"/>
      <c r="Q23" s="6" t="inlineStr"/>
      <c r="R23" s="4" t="inlineStr"/>
      <c r="S23" s="4" t="inlineStr"/>
      <c r="T23" s="4" t="inlineStr"/>
      <c r="U23" s="5" t="inlineStr"/>
      <c r="V23" s="6" t="inlineStr"/>
    </row>
    <row r="24" ht="40" customHeight="1">
      <c r="A24" s="7" t="inlineStr">
        <is>
          <t>1B-20</t>
        </is>
      </c>
      <c r="B24" s="8" t="inlineStr">
        <is>
          <t>Phase 1B</t>
        </is>
      </c>
      <c r="C24" s="8" t="inlineStr">
        <is>
          <t>Phase 1B</t>
        </is>
      </c>
      <c r="D24" s="7" t="inlineStr">
        <is>
          <t>Deal card</t>
        </is>
      </c>
      <c r="E24" s="8" t="inlineStr">
        <is>
          <t>P1</t>
        </is>
      </c>
      <c r="F24" s="8" t="inlineStr">
        <is>
          <t>Manual</t>
        </is>
      </c>
      <c r="G24" s="9" t="inlineStr">
        <is>
          <t>A recipe that schedules a meeting on a Qualified Deal.</t>
        </is>
      </c>
      <c r="H24" s="9" t="inlineStr">
        <is>
          <t>Let it run.</t>
        </is>
      </c>
      <c r="I24" s="9" t="inlineStr">
        <is>
          <t>The meeting appears on the Deal card AND in Deal activity, not only in history.</t>
        </is>
      </c>
      <c r="J24" s="9" t="inlineStr">
        <is>
          <t>FR-22 / AC-RUN-03</t>
        </is>
      </c>
      <c r="K24" s="8" t="inlineStr">
        <is>
          <t>Not run</t>
        </is>
      </c>
      <c r="L24" s="9" t="inlineStr"/>
      <c r="M24" s="8" t="inlineStr"/>
      <c r="N24" s="7" t="inlineStr"/>
      <c r="O24" s="7" t="inlineStr"/>
      <c r="P24" s="7" t="inlineStr"/>
      <c r="Q24" s="9" t="inlineStr"/>
      <c r="R24" s="7" t="inlineStr"/>
      <c r="S24" s="7" t="inlineStr"/>
      <c r="T24" s="7" t="inlineStr"/>
      <c r="U24" s="8" t="inlineStr"/>
      <c r="V24" s="9" t="inlineStr"/>
    </row>
    <row r="25" ht="40" customHeight="1">
      <c r="A25" s="4" t="inlineStr">
        <is>
          <t>1B-21</t>
        </is>
      </c>
      <c r="B25" s="5" t="inlineStr">
        <is>
          <t>Phase 1B</t>
        </is>
      </c>
      <c r="C25" s="5" t="inlineStr">
        <is>
          <t>Phase 1B</t>
        </is>
      </c>
      <c r="D25" s="4" t="inlineStr">
        <is>
          <t>Deal card</t>
        </is>
      </c>
      <c r="E25" s="5" t="inlineStr">
        <is>
          <t>P1</t>
        </is>
      </c>
      <c r="F25" s="5" t="inlineStr">
        <is>
          <t>Manual</t>
        </is>
      </c>
      <c r="G25" s="6" t="inlineStr">
        <is>
          <t>A recipe that sets a next action.</t>
        </is>
      </c>
      <c r="H25" s="6" t="inlineStr">
        <is>
          <t>Let it run.</t>
        </is>
      </c>
      <c r="I25" s="6" t="inlineStr">
        <is>
          <t>The next action, its owner and its due date appear on the Deal card.</t>
        </is>
      </c>
      <c r="J25" s="6" t="inlineStr">
        <is>
          <t>FR-22</t>
        </is>
      </c>
      <c r="K25" s="5" t="inlineStr">
        <is>
          <t>Not run</t>
        </is>
      </c>
      <c r="L25" s="6" t="inlineStr"/>
      <c r="M25" s="5" t="inlineStr"/>
      <c r="N25" s="4" t="inlineStr"/>
      <c r="O25" s="4" t="inlineStr"/>
      <c r="P25" s="4" t="inlineStr"/>
      <c r="Q25" s="6" t="inlineStr"/>
      <c r="R25" s="4" t="inlineStr"/>
      <c r="S25" s="4" t="inlineStr"/>
      <c r="T25" s="4" t="inlineStr"/>
      <c r="U25" s="5" t="inlineStr"/>
      <c r="V25" s="6" t="inlineStr"/>
    </row>
    <row r="26" ht="40" customHeight="1">
      <c r="A26" s="7" t="inlineStr">
        <is>
          <t>1B-22</t>
        </is>
      </c>
      <c r="B26" s="8" t="inlineStr">
        <is>
          <t>Phase 1B</t>
        </is>
      </c>
      <c r="C26" s="8" t="inlineStr">
        <is>
          <t>Phase 1B</t>
        </is>
      </c>
      <c r="D26" s="7" t="inlineStr">
        <is>
          <t>Deal card</t>
        </is>
      </c>
      <c r="E26" s="8" t="inlineStr">
        <is>
          <t>P1</t>
        </is>
      </c>
      <c r="F26" s="8" t="inlineStr">
        <is>
          <t>Manual</t>
        </is>
      </c>
      <c r="G26" s="9" t="inlineStr">
        <is>
          <t>A note with a follow-up.</t>
        </is>
      </c>
      <c r="H26" s="9" t="inlineStr">
        <is>
          <t>Let it run.</t>
        </is>
      </c>
      <c r="I26" s="9" t="inlineStr">
        <is>
          <t>The follow-up appears on the Deal card and in activity.</t>
        </is>
      </c>
      <c r="J26" s="9" t="inlineStr">
        <is>
          <t>FR-22</t>
        </is>
      </c>
      <c r="K26" s="8" t="inlineStr">
        <is>
          <t>Not run</t>
        </is>
      </c>
      <c r="L26" s="9" t="inlineStr"/>
      <c r="M26" s="8" t="inlineStr"/>
      <c r="N26" s="7" t="inlineStr"/>
      <c r="O26" s="7" t="inlineStr"/>
      <c r="P26" s="7" t="inlineStr"/>
      <c r="Q26" s="9" t="inlineStr"/>
      <c r="R26" s="7" t="inlineStr"/>
      <c r="S26" s="7" t="inlineStr"/>
      <c r="T26" s="7" t="inlineStr"/>
      <c r="U26" s="8" t="inlineStr"/>
      <c r="V26" s="9" t="inlineStr"/>
    </row>
    <row r="27" ht="40" customHeight="1">
      <c r="A27" s="4" t="inlineStr">
        <is>
          <t>1B-23</t>
        </is>
      </c>
      <c r="B27" s="5" t="inlineStr">
        <is>
          <t>Phase 1B</t>
        </is>
      </c>
      <c r="C27" s="5" t="inlineStr">
        <is>
          <t>Phase 1B</t>
        </is>
      </c>
      <c r="D27" s="4" t="inlineStr">
        <is>
          <t>Deal card</t>
        </is>
      </c>
      <c r="E27" s="5" t="inlineStr">
        <is>
          <t>P1</t>
        </is>
      </c>
      <c r="F27" s="5" t="inlineStr">
        <is>
          <t>Manual</t>
        </is>
      </c>
      <c r="G27" s="6" t="inlineStr">
        <is>
          <t>A recipe that requests a file.</t>
        </is>
      </c>
      <c r="H27" s="6" t="inlineStr">
        <is>
          <t>Let it run.</t>
        </is>
      </c>
      <c r="I27" s="6" t="inlineStr">
        <is>
          <t>The request appears in Needs your attention and on the Deal card, with due date and assignee.</t>
        </is>
      </c>
      <c r="J27" s="6" t="inlineStr">
        <is>
          <t>FR-20 / FR-22</t>
        </is>
      </c>
      <c r="K27" s="5" t="inlineStr">
        <is>
          <t>Not run</t>
        </is>
      </c>
      <c r="L27" s="6" t="inlineStr"/>
      <c r="M27" s="5" t="inlineStr"/>
      <c r="N27" s="4" t="inlineStr"/>
      <c r="O27" s="4" t="inlineStr"/>
      <c r="P27" s="4" t="inlineStr"/>
      <c r="Q27" s="6" t="inlineStr"/>
      <c r="R27" s="4" t="inlineStr"/>
      <c r="S27" s="4" t="inlineStr"/>
      <c r="T27" s="4" t="inlineStr"/>
      <c r="U27" s="5" t="inlineStr"/>
      <c r="V27" s="6" t="inlineStr"/>
    </row>
    <row r="28" ht="40" customHeight="1">
      <c r="A28" s="7" t="inlineStr">
        <is>
          <t>1B-24</t>
        </is>
      </c>
      <c r="B28" s="8" t="inlineStr">
        <is>
          <t>Phase 1B</t>
        </is>
      </c>
      <c r="C28" s="8" t="inlineStr">
        <is>
          <t>Phase 1B</t>
        </is>
      </c>
      <c r="D28" s="7" t="inlineStr">
        <is>
          <t>Deal card</t>
        </is>
      </c>
      <c r="E28" s="8" t="inlineStr">
        <is>
          <t>P2</t>
        </is>
      </c>
      <c r="F28" s="8" t="inlineStr">
        <is>
          <t>Manual</t>
        </is>
      </c>
      <c r="G28" s="9" t="inlineStr">
        <is>
          <t>A Deal with an expected close date.</t>
        </is>
      </c>
      <c r="H28" s="9" t="inlineStr">
        <is>
          <t>Open Deal details.</t>
        </is>
      </c>
      <c r="I28" s="9" t="inlineStr">
        <is>
          <t>Expected close date appears under Labels, not as a Lead field.</t>
        </is>
      </c>
      <c r="J28" s="9" t="inlineStr">
        <is>
          <t>A11</t>
        </is>
      </c>
      <c r="K28" s="8" t="inlineStr">
        <is>
          <t>Not run</t>
        </is>
      </c>
      <c r="L28" s="9" t="inlineStr"/>
      <c r="M28" s="8" t="inlineStr"/>
      <c r="N28" s="7" t="inlineStr"/>
      <c r="O28" s="7" t="inlineStr"/>
      <c r="P28" s="7" t="inlineStr"/>
      <c r="Q28" s="9" t="inlineStr"/>
      <c r="R28" s="7" t="inlineStr"/>
      <c r="S28" s="7" t="inlineStr"/>
      <c r="T28" s="7" t="inlineStr"/>
      <c r="U28" s="8" t="inlineStr"/>
      <c r="V28" s="9" t="inlineStr"/>
    </row>
    <row r="29" ht="40" customHeight="1">
      <c r="A29" s="4" t="inlineStr">
        <is>
          <t>1B-25</t>
        </is>
      </c>
      <c r="B29" s="5" t="inlineStr">
        <is>
          <t>Phase 1B</t>
        </is>
      </c>
      <c r="C29" s="5" t="inlineStr">
        <is>
          <t>Phase 1B</t>
        </is>
      </c>
      <c r="D29" s="4" t="inlineStr">
        <is>
          <t>Deal card</t>
        </is>
      </c>
      <c r="E29" s="5" t="inlineStr">
        <is>
          <t>P1</t>
        </is>
      </c>
      <c r="F29" s="5" t="inlineStr">
        <is>
          <t>Manual</t>
        </is>
      </c>
      <c r="G29" s="6" t="inlineStr">
        <is>
          <t>An outstanding file request on a Deal card.</t>
        </is>
      </c>
      <c r="H29" s="6" t="inlineStr">
        <is>
          <t>Upload the matching file.</t>
        </is>
      </c>
      <c r="I29" s="6" t="inlineStr">
        <is>
          <t>Card, activity, focus and history all clear or update together.</t>
        </is>
      </c>
      <c r="J29" s="6" t="inlineStr">
        <is>
          <t>FR-20</t>
        </is>
      </c>
      <c r="K29" s="5" t="inlineStr">
        <is>
          <t>Not run</t>
        </is>
      </c>
      <c r="L29" s="6" t="inlineStr"/>
      <c r="M29" s="5" t="inlineStr"/>
      <c r="N29" s="4" t="inlineStr"/>
      <c r="O29" s="4" t="inlineStr"/>
      <c r="P29" s="4" t="inlineStr"/>
      <c r="Q29" s="6" t="inlineStr"/>
      <c r="R29" s="4" t="inlineStr"/>
      <c r="S29" s="4" t="inlineStr"/>
      <c r="T29" s="4" t="inlineStr"/>
      <c r="U29" s="5" t="inlineStr"/>
      <c r="V29" s="6" t="inlineStr"/>
    </row>
  </sheetData>
  <autoFilter ref="A4:V29"/>
  <conditionalFormatting sqref="K5:K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29" showDropDown="0" showInputMessage="0" showErrorMessage="0" allowBlank="0" type="list">
      <formula1>"Not run,Pass,Fail,Blocked,N/A"</formula1>
    </dataValidation>
    <dataValidation sqref="E5:E29" showDropDown="0" showInputMessage="0" showErrorMessage="0" allowBlank="0" type="list">
      <formula1>"P1,P2,P3"</formula1>
    </dataValidation>
    <dataValidation sqref="F5:F29" showDropDown="0" showInputMessage="0" showErrorMessage="0" allowBlank="0" type="list">
      <formula1>"Manual,Automated,Both"</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4" customWidth="1" min="3" max="3"/>
    <col width="9"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24" customWidth="1" min="14" max="14"/>
  </cols>
  <sheetData>
    <row r="1">
      <c r="A1" s="1" t="inlineStr">
        <is>
          <t>Recipe coverage matrix</t>
        </is>
      </c>
    </row>
    <row r="2">
      <c r="A2" s="2" t="inlineStr">
        <is>
          <t>Each of the twelve ready-made recipes, against nine checks. Every cell is a test result.</t>
        </is>
      </c>
    </row>
    <row r="4">
      <c r="A4" s="3" t="inlineStr">
        <is>
          <t>ID</t>
        </is>
      </c>
      <c r="B4" s="3" t="inlineStr">
        <is>
          <t>Recipe</t>
        </is>
      </c>
      <c r="C4" s="3" t="inlineStr">
        <is>
          <t>Stage</t>
        </is>
      </c>
      <c r="D4" s="3" t="inlineStr">
        <is>
          <t>Kind</t>
        </is>
      </c>
      <c r="E4" s="3" t="inlineStr">
        <is>
          <t>Correct trigger</t>
        </is>
      </c>
      <c r="F4" s="3" t="inlineStr">
        <is>
          <t>Rule Yes path</t>
        </is>
      </c>
      <c r="G4" s="3" t="inlineStr">
        <is>
          <t>Rule No path</t>
        </is>
      </c>
      <c r="H4" s="3" t="inlineStr">
        <is>
          <t>Correct action</t>
        </is>
      </c>
      <c r="I4" s="3" t="inlineStr">
        <is>
          <t>Company scope</t>
        </is>
      </c>
      <c r="J4" s="3" t="inlineStr">
        <is>
          <t>Active / Inactive</t>
        </is>
      </c>
      <c r="K4" s="3" t="inlineStr">
        <is>
          <t>Output in right place</t>
        </is>
      </c>
      <c r="L4" s="3" t="inlineStr">
        <is>
          <t>History entry</t>
        </is>
      </c>
      <c r="M4" s="3" t="inlineStr">
        <is>
          <t>Retry no duplicate</t>
        </is>
      </c>
      <c r="N4" s="3" t="inlineStr">
        <is>
          <t>Notes</t>
        </is>
      </c>
    </row>
    <row r="5">
      <c r="A5" s="4" t="inlineStr">
        <is>
          <t>RC-01</t>
        </is>
      </c>
      <c r="B5" s="4" t="inlineStr">
        <is>
          <t>Qualified first next action</t>
        </is>
      </c>
      <c r="C5" s="4" t="inlineStr">
        <is>
          <t>Qualified</t>
        </is>
      </c>
      <c r="D5" s="5" t="inlineStr">
        <is>
          <t>Event</t>
        </is>
      </c>
      <c r="E5" s="5" t="inlineStr">
        <is>
          <t>Not run</t>
        </is>
      </c>
      <c r="F5" s="5" t="inlineStr">
        <is>
          <t>Not run</t>
        </is>
      </c>
      <c r="G5" s="5" t="inlineStr">
        <is>
          <t>Not run</t>
        </is>
      </c>
      <c r="H5" s="5" t="inlineStr">
        <is>
          <t>Not run</t>
        </is>
      </c>
      <c r="I5" s="5" t="inlineStr">
        <is>
          <t>Not run</t>
        </is>
      </c>
      <c r="J5" s="5" t="inlineStr">
        <is>
          <t>Not run</t>
        </is>
      </c>
      <c r="K5" s="5" t="inlineStr">
        <is>
          <t>Not run</t>
        </is>
      </c>
      <c r="L5" s="5" t="inlineStr">
        <is>
          <t>Not run</t>
        </is>
      </c>
      <c r="M5" s="5" t="inlineStr">
        <is>
          <t>Not run</t>
        </is>
      </c>
      <c r="N5" s="5" t="inlineStr"/>
    </row>
    <row r="6">
      <c r="A6" s="7" t="inlineStr">
        <is>
          <t>RC-02</t>
        </is>
      </c>
      <c r="B6" s="7" t="inlineStr">
        <is>
          <t>Qualified inactivity reminder</t>
        </is>
      </c>
      <c r="C6" s="7" t="inlineStr">
        <is>
          <t>Qualified</t>
        </is>
      </c>
      <c r="D6" s="8" t="inlineStr">
        <is>
          <t>Timed</t>
        </is>
      </c>
      <c r="E6" s="8" t="inlineStr">
        <is>
          <t>Not run</t>
        </is>
      </c>
      <c r="F6" s="8" t="inlineStr">
        <is>
          <t>Not run</t>
        </is>
      </c>
      <c r="G6" s="8" t="inlineStr">
        <is>
          <t>Not run</t>
        </is>
      </c>
      <c r="H6" s="8" t="inlineStr">
        <is>
          <t>Not run</t>
        </is>
      </c>
      <c r="I6" s="8" t="inlineStr">
        <is>
          <t>Not run</t>
        </is>
      </c>
      <c r="J6" s="8" t="inlineStr">
        <is>
          <t>Not run</t>
        </is>
      </c>
      <c r="K6" s="8" t="inlineStr">
        <is>
          <t>Not run</t>
        </is>
      </c>
      <c r="L6" s="8" t="inlineStr">
        <is>
          <t>Not run</t>
        </is>
      </c>
      <c r="M6" s="8" t="inlineStr">
        <is>
          <t>Not run</t>
        </is>
      </c>
      <c r="N6" s="8" t="inlineStr"/>
    </row>
    <row r="7">
      <c r="A7" s="4" t="inlineStr">
        <is>
          <t>RC-03</t>
        </is>
      </c>
      <c r="B7" s="4" t="inlineStr">
        <is>
          <t>Site visit &amp; pre-quote readiness</t>
        </is>
      </c>
      <c r="C7" s="4" t="inlineStr">
        <is>
          <t>Qualified</t>
        </is>
      </c>
      <c r="D7" s="5" t="inlineStr">
        <is>
          <t>Event</t>
        </is>
      </c>
      <c r="E7" s="5" t="inlineStr">
        <is>
          <t>Not run</t>
        </is>
      </c>
      <c r="F7" s="5" t="inlineStr">
        <is>
          <t>Not run</t>
        </is>
      </c>
      <c r="G7" s="5" t="inlineStr">
        <is>
          <t>Not run</t>
        </is>
      </c>
      <c r="H7" s="5" t="inlineStr">
        <is>
          <t>Not run</t>
        </is>
      </c>
      <c r="I7" s="5" t="inlineStr">
        <is>
          <t>Not run</t>
        </is>
      </c>
      <c r="J7" s="5" t="inlineStr">
        <is>
          <t>Not run</t>
        </is>
      </c>
      <c r="K7" s="5" t="inlineStr">
        <is>
          <t>Not run</t>
        </is>
      </c>
      <c r="L7" s="5" t="inlineStr">
        <is>
          <t>Not run</t>
        </is>
      </c>
      <c r="M7" s="5" t="inlineStr">
        <is>
          <t>Not run</t>
        </is>
      </c>
      <c r="N7" s="5" t="inlineStr"/>
    </row>
    <row r="8">
      <c r="A8" s="7" t="inlineStr">
        <is>
          <t>RC-04</t>
        </is>
      </c>
      <c r="B8" s="7" t="inlineStr">
        <is>
          <t>Quote build and scope-of-work checks</t>
        </is>
      </c>
      <c r="C8" s="7" t="inlineStr">
        <is>
          <t>In Progress</t>
        </is>
      </c>
      <c r="D8" s="8" t="inlineStr">
        <is>
          <t>Event</t>
        </is>
      </c>
      <c r="E8" s="8" t="inlineStr">
        <is>
          <t>Not run</t>
        </is>
      </c>
      <c r="F8" s="8" t="inlineStr">
        <is>
          <t>Not run</t>
        </is>
      </c>
      <c r="G8" s="8" t="inlineStr">
        <is>
          <t>Not run</t>
        </is>
      </c>
      <c r="H8" s="8" t="inlineStr">
        <is>
          <t>Not run</t>
        </is>
      </c>
      <c r="I8" s="8" t="inlineStr">
        <is>
          <t>Not run</t>
        </is>
      </c>
      <c r="J8" s="8" t="inlineStr">
        <is>
          <t>Not run</t>
        </is>
      </c>
      <c r="K8" s="8" t="inlineStr">
        <is>
          <t>Not run</t>
        </is>
      </c>
      <c r="L8" s="8" t="inlineStr">
        <is>
          <t>Not run</t>
        </is>
      </c>
      <c r="M8" s="8" t="inlineStr">
        <is>
          <t>Not run</t>
        </is>
      </c>
      <c r="N8" s="8" t="inlineStr"/>
    </row>
    <row r="9">
      <c r="A9" s="4" t="inlineStr">
        <is>
          <t>RC-05</t>
        </is>
      </c>
      <c r="B9" s="4" t="inlineStr">
        <is>
          <t>Internal quote review</t>
        </is>
      </c>
      <c r="C9" s="4" t="inlineStr">
        <is>
          <t>In Review</t>
        </is>
      </c>
      <c r="D9" s="5" t="inlineStr">
        <is>
          <t>Event</t>
        </is>
      </c>
      <c r="E9" s="5" t="inlineStr">
        <is>
          <t>Not run</t>
        </is>
      </c>
      <c r="F9" s="5" t="inlineStr">
        <is>
          <t>Not run</t>
        </is>
      </c>
      <c r="G9" s="5" t="inlineStr">
        <is>
          <t>Not run</t>
        </is>
      </c>
      <c r="H9" s="5" t="inlineStr">
        <is>
          <t>Not run</t>
        </is>
      </c>
      <c r="I9" s="5" t="inlineStr">
        <is>
          <t>Not run</t>
        </is>
      </c>
      <c r="J9" s="5" t="inlineStr">
        <is>
          <t>Not run</t>
        </is>
      </c>
      <c r="K9" s="5" t="inlineStr">
        <is>
          <t>Not run</t>
        </is>
      </c>
      <c r="L9" s="5" t="inlineStr">
        <is>
          <t>Not run</t>
        </is>
      </c>
      <c r="M9" s="5" t="inlineStr">
        <is>
          <t>Not run</t>
        </is>
      </c>
      <c r="N9" s="5" t="inlineStr"/>
    </row>
    <row r="10">
      <c r="A10" s="7" t="inlineStr">
        <is>
          <t>RC-06</t>
        </is>
      </c>
      <c r="B10" s="7" t="inlineStr">
        <is>
          <t>Ready-to-send check</t>
        </is>
      </c>
      <c r="C10" s="7" t="inlineStr">
        <is>
          <t>Passed Review</t>
        </is>
      </c>
      <c r="D10" s="8" t="inlineStr">
        <is>
          <t>Event</t>
        </is>
      </c>
      <c r="E10" s="8" t="inlineStr">
        <is>
          <t>Not run</t>
        </is>
      </c>
      <c r="F10" s="8" t="inlineStr">
        <is>
          <t>Not run</t>
        </is>
      </c>
      <c r="G10" s="8" t="inlineStr">
        <is>
          <t>Not run</t>
        </is>
      </c>
      <c r="H10" s="8" t="inlineStr">
        <is>
          <t>Not run</t>
        </is>
      </c>
      <c r="I10" s="8" t="inlineStr">
        <is>
          <t>Not run</t>
        </is>
      </c>
      <c r="J10" s="8" t="inlineStr">
        <is>
          <t>Not run</t>
        </is>
      </c>
      <c r="K10" s="8" t="inlineStr">
        <is>
          <t>Not run</t>
        </is>
      </c>
      <c r="L10" s="8" t="inlineStr">
        <is>
          <t>Not run</t>
        </is>
      </c>
      <c r="M10" s="8" t="inlineStr">
        <is>
          <t>Not run</t>
        </is>
      </c>
      <c r="N10" s="8" t="inlineStr"/>
    </row>
    <row r="11">
      <c r="A11" s="4" t="inlineStr">
        <is>
          <t>RC-07</t>
        </is>
      </c>
      <c r="B11" s="4" t="inlineStr">
        <is>
          <t>High-value approval</t>
        </is>
      </c>
      <c r="C11" s="4" t="inlineStr">
        <is>
          <t>Passed Review</t>
        </is>
      </c>
      <c r="D11" s="5" t="inlineStr">
        <is>
          <t>Event</t>
        </is>
      </c>
      <c r="E11" s="5" t="inlineStr">
        <is>
          <t>Not run</t>
        </is>
      </c>
      <c r="F11" s="5" t="inlineStr">
        <is>
          <t>Not run</t>
        </is>
      </c>
      <c r="G11" s="5" t="inlineStr">
        <is>
          <t>Not run</t>
        </is>
      </c>
      <c r="H11" s="5" t="inlineStr">
        <is>
          <t>Not run</t>
        </is>
      </c>
      <c r="I11" s="5" t="inlineStr">
        <is>
          <t>Not run</t>
        </is>
      </c>
      <c r="J11" s="5" t="inlineStr">
        <is>
          <t>Not run</t>
        </is>
      </c>
      <c r="K11" s="5" t="inlineStr">
        <is>
          <t>Not run</t>
        </is>
      </c>
      <c r="L11" s="5" t="inlineStr">
        <is>
          <t>Not run</t>
        </is>
      </c>
      <c r="M11" s="5" t="inlineStr">
        <is>
          <t>Not run</t>
        </is>
      </c>
      <c r="N11" s="5" t="inlineStr"/>
    </row>
    <row r="12">
      <c r="A12" s="7" t="inlineStr">
        <is>
          <t>RC-08</t>
        </is>
      </c>
      <c r="B12" s="7" t="inlineStr">
        <is>
          <t>Sent quote follow-up</t>
        </is>
      </c>
      <c r="C12" s="7" t="inlineStr">
        <is>
          <t>Sent</t>
        </is>
      </c>
      <c r="D12" s="8" t="inlineStr">
        <is>
          <t>Timed</t>
        </is>
      </c>
      <c r="E12" s="8" t="inlineStr">
        <is>
          <t>Not run</t>
        </is>
      </c>
      <c r="F12" s="8" t="inlineStr">
        <is>
          <t>Not run</t>
        </is>
      </c>
      <c r="G12" s="8" t="inlineStr">
        <is>
          <t>Not run</t>
        </is>
      </c>
      <c r="H12" s="8" t="inlineStr">
        <is>
          <t>Not run</t>
        </is>
      </c>
      <c r="I12" s="8" t="inlineStr">
        <is>
          <t>Not run</t>
        </is>
      </c>
      <c r="J12" s="8" t="inlineStr">
        <is>
          <t>Not run</t>
        </is>
      </c>
      <c r="K12" s="8" t="inlineStr">
        <is>
          <t>Not run</t>
        </is>
      </c>
      <c r="L12" s="8" t="inlineStr">
        <is>
          <t>Not run</t>
        </is>
      </c>
      <c r="M12" s="8" t="inlineStr">
        <is>
          <t>Not run</t>
        </is>
      </c>
      <c r="N12" s="8" t="inlineStr"/>
    </row>
    <row r="13">
      <c r="A13" s="4" t="inlineStr">
        <is>
          <t>RC-09</t>
        </is>
      </c>
      <c r="B13" s="4" t="inlineStr">
        <is>
          <t>Quote expiry reminder</t>
        </is>
      </c>
      <c r="C13" s="4" t="inlineStr">
        <is>
          <t>Sent</t>
        </is>
      </c>
      <c r="D13" s="5" t="inlineStr">
        <is>
          <t>Timed</t>
        </is>
      </c>
      <c r="E13" s="5" t="inlineStr">
        <is>
          <t>Not run</t>
        </is>
      </c>
      <c r="F13" s="5" t="inlineStr">
        <is>
          <t>Not run</t>
        </is>
      </c>
      <c r="G13" s="5" t="inlineStr">
        <is>
          <t>Not run</t>
        </is>
      </c>
      <c r="H13" s="5" t="inlineStr">
        <is>
          <t>Not run</t>
        </is>
      </c>
      <c r="I13" s="5" t="inlineStr">
        <is>
          <t>Not run</t>
        </is>
      </c>
      <c r="J13" s="5" t="inlineStr">
        <is>
          <t>Not run</t>
        </is>
      </c>
      <c r="K13" s="5" t="inlineStr">
        <is>
          <t>Not run</t>
        </is>
      </c>
      <c r="L13" s="5" t="inlineStr">
        <is>
          <t>Not run</t>
        </is>
      </c>
      <c r="M13" s="5" t="inlineStr">
        <is>
          <t>Not run</t>
        </is>
      </c>
      <c r="N13" s="5" t="inlineStr"/>
    </row>
    <row r="14">
      <c r="A14" s="7" t="inlineStr">
        <is>
          <t>RC-10</t>
        </is>
      </c>
      <c r="B14" s="7" t="inlineStr">
        <is>
          <t>Won Deal handoff</t>
        </is>
      </c>
      <c r="C14" s="7" t="inlineStr">
        <is>
          <t>Won</t>
        </is>
      </c>
      <c r="D14" s="8" t="inlineStr">
        <is>
          <t>Event</t>
        </is>
      </c>
      <c r="E14" s="8" t="inlineStr">
        <is>
          <t>Not run</t>
        </is>
      </c>
      <c r="F14" s="8" t="inlineStr">
        <is>
          <t>Not run</t>
        </is>
      </c>
      <c r="G14" s="8" t="inlineStr">
        <is>
          <t>Not run</t>
        </is>
      </c>
      <c r="H14" s="8" t="inlineStr">
        <is>
          <t>Not run</t>
        </is>
      </c>
      <c r="I14" s="8" t="inlineStr">
        <is>
          <t>Not run</t>
        </is>
      </c>
      <c r="J14" s="8" t="inlineStr">
        <is>
          <t>Not run</t>
        </is>
      </c>
      <c r="K14" s="8" t="inlineStr">
        <is>
          <t>Not run</t>
        </is>
      </c>
      <c r="L14" s="8" t="inlineStr">
        <is>
          <t>Not run</t>
        </is>
      </c>
      <c r="M14" s="8" t="inlineStr">
        <is>
          <t>Not run</t>
        </is>
      </c>
      <c r="N14" s="8" t="inlineStr"/>
    </row>
    <row r="15">
      <c r="A15" s="4" t="inlineStr">
        <is>
          <t>RC-11</t>
        </is>
      </c>
      <c r="B15" s="4" t="inlineStr">
        <is>
          <t>Accepted quote to draft invoice</t>
        </is>
      </c>
      <c r="C15" s="4" t="inlineStr">
        <is>
          <t>Won</t>
        </is>
      </c>
      <c r="D15" s="5" t="inlineStr">
        <is>
          <t>Event</t>
        </is>
      </c>
      <c r="E15" s="5" t="inlineStr">
        <is>
          <t>Not run</t>
        </is>
      </c>
      <c r="F15" s="5" t="inlineStr">
        <is>
          <t>Not run</t>
        </is>
      </c>
      <c r="G15" s="5" t="inlineStr">
        <is>
          <t>Not run</t>
        </is>
      </c>
      <c r="H15" s="5" t="inlineStr">
        <is>
          <t>Not run</t>
        </is>
      </c>
      <c r="I15" s="5" t="inlineStr">
        <is>
          <t>Not run</t>
        </is>
      </c>
      <c r="J15" s="5" t="inlineStr">
        <is>
          <t>Not run</t>
        </is>
      </c>
      <c r="K15" s="5" t="inlineStr">
        <is>
          <t>Not run</t>
        </is>
      </c>
      <c r="L15" s="5" t="inlineStr">
        <is>
          <t>Not run</t>
        </is>
      </c>
      <c r="M15" s="5" t="inlineStr">
        <is>
          <t>Not run</t>
        </is>
      </c>
      <c r="N15" s="5" t="inlineStr"/>
    </row>
    <row r="16">
      <c r="A16" s="7" t="inlineStr">
        <is>
          <t>RC-12</t>
        </is>
      </c>
      <c r="B16" s="7" t="inlineStr">
        <is>
          <t>Lost Deal reason follow-up</t>
        </is>
      </c>
      <c r="C16" s="7" t="inlineStr">
        <is>
          <t>Lost</t>
        </is>
      </c>
      <c r="D16" s="8" t="inlineStr">
        <is>
          <t>Event</t>
        </is>
      </c>
      <c r="E16" s="8" t="inlineStr">
        <is>
          <t>Not run</t>
        </is>
      </c>
      <c r="F16" s="8" t="inlineStr">
        <is>
          <t>Not run</t>
        </is>
      </c>
      <c r="G16" s="8" t="inlineStr">
        <is>
          <t>Not run</t>
        </is>
      </c>
      <c r="H16" s="8" t="inlineStr">
        <is>
          <t>Not run</t>
        </is>
      </c>
      <c r="I16" s="8" t="inlineStr">
        <is>
          <t>Not run</t>
        </is>
      </c>
      <c r="J16" s="8" t="inlineStr">
        <is>
          <t>Not run</t>
        </is>
      </c>
      <c r="K16" s="8" t="inlineStr">
        <is>
          <t>Not run</t>
        </is>
      </c>
      <c r="L16" s="8" t="inlineStr">
        <is>
          <t>Not run</t>
        </is>
      </c>
      <c r="M16" s="8" t="inlineStr">
        <is>
          <t>Not run</t>
        </is>
      </c>
      <c r="N16" s="8" t="inlineStr"/>
    </row>
    <row r="18">
      <c r="A18" s="17" t="inlineStr">
        <is>
          <t>Cells outstanding</t>
        </is>
      </c>
      <c r="B18" s="17">
        <f>COUNTIF(E5:M16,"Fail")+COUNTIF(E5:M16,"Blocked")+COUNTIF(E5:M16,"Not run")</f>
        <v/>
      </c>
    </row>
  </sheetData>
  <autoFilter ref="A4:N16"/>
  <conditionalFormatting sqref="E5:M1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1">
    <dataValidation sqref="E5:M16" showDropDown="0" showInputMessage="0" showErrorMessage="0" allowBlank="0" type="list">
      <formula1>"Not run,Pass,Fail,Blocked,N/A"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43"/>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Phase 1C</t>
        </is>
      </c>
    </row>
    <row r="2">
      <c r="A2" s="2" t="inlineStr">
        <is>
          <t>Advanced builder — navigation, catalogue, editing flow, simulator, publishing, state and required work.</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1C-01</t>
        </is>
      </c>
      <c r="B5" s="5" t="inlineStr">
        <is>
          <t>Phase 1C</t>
        </is>
      </c>
      <c r="C5" s="5" t="inlineStr">
        <is>
          <t>Phase 1C</t>
        </is>
      </c>
      <c r="D5" s="4" t="inlineStr">
        <is>
          <t>Creation</t>
        </is>
      </c>
      <c r="E5" s="5" t="inlineStr">
        <is>
          <t>P1</t>
        </is>
      </c>
      <c r="F5" s="5" t="inlineStr">
        <is>
          <t>Manual</t>
        </is>
      </c>
      <c r="G5" s="6" t="inlineStr">
        <is>
          <t>Phase 1C build.</t>
        </is>
      </c>
      <c r="H5" s="6" t="inlineStr">
        <is>
          <t>Open Create Automation for a fixed stage.</t>
        </is>
      </c>
      <c r="I5" s="6" t="inlineStr">
        <is>
          <t>Exactly one route: the twelve templates for that stage. No 'start from scratch' entry, no empty canvas, and no way to reach one by URL or keyboard.</t>
        </is>
      </c>
      <c r="J5" s="6" t="inlineStr">
        <is>
          <t>FR-01 / AC-BLD-03</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1C-02</t>
        </is>
      </c>
      <c r="B6" s="8" t="inlineStr">
        <is>
          <t>Phase 1C</t>
        </is>
      </c>
      <c r="C6" s="8" t="inlineStr">
        <is>
          <t>Phase 1C</t>
        </is>
      </c>
      <c r="D6" s="7" t="inlineStr">
        <is>
          <t>Creation</t>
        </is>
      </c>
      <c r="E6" s="8" t="inlineStr">
        <is>
          <t>P1</t>
        </is>
      </c>
      <c r="F6" s="8" t="inlineStr">
        <is>
          <t>Manual</t>
        </is>
      </c>
      <c r="G6" s="9" t="inlineStr">
        <is>
          <t>A pipeline with no Automations.</t>
        </is>
      </c>
      <c r="H6" s="9" t="inlineStr">
        <is>
          <t>Open it.</t>
        </is>
      </c>
      <c r="I6" s="9" t="inlineStr">
        <is>
          <t>Opens to an empty state that explains the situation and offers Create Automation.</t>
        </is>
      </c>
      <c r="J6" s="9" t="inlineStr">
        <is>
          <t>FR-23 / AC-BLD-02</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1C-03</t>
        </is>
      </c>
      <c r="B7" s="5" t="inlineStr">
        <is>
          <t>Phase 1C</t>
        </is>
      </c>
      <c r="C7" s="5" t="inlineStr">
        <is>
          <t>Phase 1C</t>
        </is>
      </c>
      <c r="D7" s="4" t="inlineStr">
        <is>
          <t>Navigation</t>
        </is>
      </c>
      <c r="E7" s="5" t="inlineStr">
        <is>
          <t>P1</t>
        </is>
      </c>
      <c r="F7" s="5" t="inlineStr">
        <is>
          <t>Manual</t>
        </is>
      </c>
      <c r="G7" s="6" t="inlineStr">
        <is>
          <t>Deals shows more than one pipeline, including a non-Sales one.</t>
        </is>
      </c>
      <c r="H7" s="6" t="inlineStr">
        <is>
          <t>Open the Automation pipeline chooser.</t>
        </is>
      </c>
      <c r="I7" s="6" t="inlineStr">
        <is>
          <t>Every pipeline that appears in Deals is listed in the chooser, with the same names and in a predictable order.</t>
        </is>
      </c>
      <c r="J7" s="6" t="inlineStr">
        <is>
          <t>AC-BLD-01</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1C-04</t>
        </is>
      </c>
      <c r="B8" s="8" t="inlineStr">
        <is>
          <t>Phase 1C</t>
        </is>
      </c>
      <c r="C8" s="8" t="inlineStr">
        <is>
          <t>Phase 1C</t>
        </is>
      </c>
      <c r="D8" s="7" t="inlineStr">
        <is>
          <t>Navigation</t>
        </is>
      </c>
      <c r="E8" s="8" t="inlineStr">
        <is>
          <t>P1</t>
        </is>
      </c>
      <c r="F8" s="8" t="inlineStr">
        <is>
          <t>Manual</t>
        </is>
      </c>
      <c r="G8" s="9" t="inlineStr">
        <is>
          <t>A non-Sales pipeline exists.</t>
        </is>
      </c>
      <c r="H8" s="9" t="inlineStr">
        <is>
          <t>Choose it from the chooser.</t>
        </is>
      </c>
      <c r="I8" s="9" t="inlineStr">
        <is>
          <t>That pipeline opens. It never falls back to Sales Pipeline.</t>
        </is>
      </c>
      <c r="J8" s="9" t="inlineStr">
        <is>
          <t>AC-BLD-01</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1C-05</t>
        </is>
      </c>
      <c r="B9" s="5" t="inlineStr">
        <is>
          <t>Phase 1C</t>
        </is>
      </c>
      <c r="C9" s="5" t="inlineStr">
        <is>
          <t>Phase 1C</t>
        </is>
      </c>
      <c r="D9" s="4" t="inlineStr">
        <is>
          <t>Navigation</t>
        </is>
      </c>
      <c r="E9" s="5" t="inlineStr">
        <is>
          <t>P1</t>
        </is>
      </c>
      <c r="F9" s="5" t="inlineStr">
        <is>
          <t>Manual</t>
        </is>
      </c>
      <c r="G9" s="6" t="inlineStr">
        <is>
          <t>A Deal belonging to a non-Sales pipeline.</t>
        </is>
      </c>
      <c r="H9" s="6" t="inlineStr">
        <is>
          <t>Click the Automation status control on the Deal page.</t>
        </is>
      </c>
      <c r="I9" s="6" t="inlineStr">
        <is>
          <t>That Deal's own pipeline opens, focused on the right stage. It never falls back to Sales Pipeline.</t>
        </is>
      </c>
      <c r="J9" s="6" t="inlineStr">
        <is>
          <t>AC-BLD-01</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1C-06</t>
        </is>
      </c>
      <c r="B10" s="8" t="inlineStr">
        <is>
          <t>Phase 1C</t>
        </is>
      </c>
      <c r="C10" s="8" t="inlineStr">
        <is>
          <t>Phase 1C</t>
        </is>
      </c>
      <c r="D10" s="7" t="inlineStr">
        <is>
          <t>Catalogue</t>
        </is>
      </c>
      <c r="E10" s="8" t="inlineStr">
        <is>
          <t>P1</t>
        </is>
      </c>
      <c r="F10" s="8" t="inlineStr">
        <is>
          <t>Automated</t>
        </is>
      </c>
      <c r="G10" s="9" t="inlineStr">
        <is>
          <t>The builder open in each of the seven stages.</t>
        </is>
      </c>
      <c r="H10" s="9" t="inlineStr">
        <is>
          <t>Compare the offered blocks.</t>
        </is>
      </c>
      <c r="I10" s="9" t="inlineStr">
        <is>
          <t>The shared core is identical in all seven. Only quote-specific additions differ.</t>
        </is>
      </c>
      <c r="J10" s="9" t="inlineStr">
        <is>
          <t>FR-06 / AC-BLD-05</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1C-07</t>
        </is>
      </c>
      <c r="B11" s="5" t="inlineStr">
        <is>
          <t>Phase 1C</t>
        </is>
      </c>
      <c r="C11" s="5" t="inlineStr">
        <is>
          <t>Phase 1C</t>
        </is>
      </c>
      <c r="D11" s="4" t="inlineStr">
        <is>
          <t>Catalogue</t>
        </is>
      </c>
      <c r="E11" s="5" t="inlineStr">
        <is>
          <t>P1</t>
        </is>
      </c>
      <c r="F11" s="5" t="inlineStr">
        <is>
          <t>Manual</t>
        </is>
      </c>
      <c r="G11" s="6" t="inlineStr">
        <is>
          <t>The builder open in In Progress.</t>
        </is>
      </c>
      <c r="H11" s="6" t="inlineStr">
        <is>
          <t>Look for a Lead-only trigger.</t>
        </is>
      </c>
      <c r="I11" s="6" t="inlineStr">
        <is>
          <t>The incompatible trigger is visible but struck through and cannot be selected. A short reason explains why it does not apply here.</t>
        </is>
      </c>
      <c r="J11" s="6" t="inlineStr">
        <is>
          <t>FR-11 / AC-BLD-06</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1C-08</t>
        </is>
      </c>
      <c r="B12" s="8" t="inlineStr">
        <is>
          <t>Phase 1C</t>
        </is>
      </c>
      <c r="C12" s="8" t="inlineStr">
        <is>
          <t>Phase 1C</t>
        </is>
      </c>
      <c r="D12" s="7" t="inlineStr">
        <is>
          <t>Catalogue</t>
        </is>
      </c>
      <c r="E12" s="8" t="inlineStr">
        <is>
          <t>P1</t>
        </is>
      </c>
      <c r="F12" s="8" t="inlineStr">
        <is>
          <t>Manual</t>
        </is>
      </c>
      <c r="G12" s="9" t="inlineStr">
        <is>
          <t>The builder on any stage.</t>
        </is>
      </c>
      <c r="H12" s="9" t="inlineStr">
        <is>
          <t>Try to add an action that sets a Deal stage.</t>
        </is>
      </c>
      <c r="I12" s="9" t="inlineStr">
        <is>
          <t>No such action exists anywhere in the catalogue — not under a different name, and not behind a search.</t>
        </is>
      </c>
      <c r="J12" s="9" t="inlineStr">
        <is>
          <t>FR-08 / AC-BLD-07</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1C-09</t>
        </is>
      </c>
      <c r="B13" s="5" t="inlineStr">
        <is>
          <t>Phase 1C</t>
        </is>
      </c>
      <c r="C13" s="5" t="inlineStr">
        <is>
          <t>Phase 1C</t>
        </is>
      </c>
      <c r="D13" s="4" t="inlineStr">
        <is>
          <t>Catalogue</t>
        </is>
      </c>
      <c r="E13" s="5" t="inlineStr">
        <is>
          <t>P1</t>
        </is>
      </c>
      <c r="F13" s="5" t="inlineStr">
        <is>
          <t>Automated</t>
        </is>
      </c>
      <c r="G13" s="6" t="inlineStr">
        <is>
          <t>Phase 1C build.</t>
        </is>
      </c>
      <c r="H13" s="6" t="inlineStr">
        <is>
          <t>Inspect how the block list is produced.</t>
        </is>
      </c>
      <c r="I13" s="6" t="inlineStr">
        <is>
          <t>One shared source. No per-stage hard-coded lists; placement is not a permission key.</t>
        </is>
      </c>
      <c r="J13" s="6" t="inlineStr">
        <is>
          <t>FR-33</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1C-10</t>
        </is>
      </c>
      <c r="B14" s="8" t="inlineStr">
        <is>
          <t>Phase 1C</t>
        </is>
      </c>
      <c r="C14" s="8" t="inlineStr">
        <is>
          <t>Phase 1C</t>
        </is>
      </c>
      <c r="D14" s="7" t="inlineStr">
        <is>
          <t>Builder</t>
        </is>
      </c>
      <c r="E14" s="8" t="inlineStr">
        <is>
          <t>P2</t>
        </is>
      </c>
      <c r="F14" s="8" t="inlineStr">
        <is>
          <t>Manual</t>
        </is>
      </c>
      <c r="G14" s="9" t="inlineStr">
        <is>
          <t>An Automation created from In Progress.</t>
        </is>
      </c>
      <c r="H14" s="9" t="inlineStr">
        <is>
          <t>Try to change its stage in the builder.</t>
        </is>
      </c>
      <c r="I14" s="9" t="inlineStr">
        <is>
          <t>The stage selector is read-only and shows why: the Automation was created from that stage.</t>
        </is>
      </c>
      <c r="J14" s="9" t="inlineStr">
        <is>
          <t>A9</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1C-11</t>
        </is>
      </c>
      <c r="B15" s="5" t="inlineStr">
        <is>
          <t>Phase 1C</t>
        </is>
      </c>
      <c r="C15" s="5" t="inlineStr">
        <is>
          <t>Phase 1C</t>
        </is>
      </c>
      <c r="D15" s="4" t="inlineStr">
        <is>
          <t>Editing</t>
        </is>
      </c>
      <c r="E15" s="5" t="inlineStr">
        <is>
          <t>P1</t>
        </is>
      </c>
      <c r="F15" s="5" t="inlineStr">
        <is>
          <t>Manual</t>
        </is>
      </c>
      <c r="G15" s="6" t="inlineStr">
        <is>
          <t>A published Automation, nothing changed.</t>
        </is>
      </c>
      <c r="H15" s="6" t="inlineStr">
        <is>
          <t>Look at Save Draft.</t>
        </is>
      </c>
      <c r="I15" s="6" t="inlineStr">
        <is>
          <t>Disabled. Before &amp; After shows 'no unpublished changes', not two identical panes.</t>
        </is>
      </c>
      <c r="J15" s="6" t="inlineStr">
        <is>
          <t>AC-BLD-11</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1C-12</t>
        </is>
      </c>
      <c r="B16" s="8" t="inlineStr">
        <is>
          <t>Phase 1C</t>
        </is>
      </c>
      <c r="C16" s="8" t="inlineStr">
        <is>
          <t>Phase 1C</t>
        </is>
      </c>
      <c r="D16" s="7" t="inlineStr">
        <is>
          <t>Editing</t>
        </is>
      </c>
      <c r="E16" s="8" t="inlineStr">
        <is>
          <t>P1</t>
        </is>
      </c>
      <c r="F16" s="8" t="inlineStr">
        <is>
          <t>Manual</t>
        </is>
      </c>
      <c r="G16" s="9" t="inlineStr">
        <is>
          <t>A published Automation.</t>
        </is>
      </c>
      <c r="H16" s="9" t="inlineStr">
        <is>
          <t>Change one step.</t>
        </is>
      </c>
      <c r="I16" s="9" t="inlineStr">
        <is>
          <t>'Unpublished changes' appears, and Before &amp; After compares published with draft.</t>
        </is>
      </c>
      <c r="J16" s="9" t="inlineStr">
        <is>
          <t>AC-BLD-11</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1C-13</t>
        </is>
      </c>
      <c r="B17" s="5" t="inlineStr">
        <is>
          <t>Phase 1C</t>
        </is>
      </c>
      <c r="C17" s="5" t="inlineStr">
        <is>
          <t>Phase 1C</t>
        </is>
      </c>
      <c r="D17" s="4" t="inlineStr">
        <is>
          <t>Editing</t>
        </is>
      </c>
      <c r="E17" s="5" t="inlineStr">
        <is>
          <t>P1</t>
        </is>
      </c>
      <c r="F17" s="5" t="inlineStr">
        <is>
          <t>Manual</t>
        </is>
      </c>
      <c r="G17" s="6" t="inlineStr">
        <is>
          <t>A draft that passed a test.</t>
        </is>
      </c>
      <c r="H17" s="6" t="inlineStr">
        <is>
          <t>Edit it again.</t>
        </is>
      </c>
      <c r="I17" s="6" t="inlineStr">
        <is>
          <t>The state becomes 'Test outdated'. Publishing is still allowed if validation is clean.</t>
        </is>
      </c>
      <c r="J17" s="6" t="inlineStr">
        <is>
          <t>FR-13 / AC-BLD-10</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1C-14</t>
        </is>
      </c>
      <c r="B18" s="8" t="inlineStr">
        <is>
          <t>Phase 1C</t>
        </is>
      </c>
      <c r="C18" s="8" t="inlineStr">
        <is>
          <t>Phase 1C</t>
        </is>
      </c>
      <c r="D18" s="7" t="inlineStr">
        <is>
          <t>Editing</t>
        </is>
      </c>
      <c r="E18" s="8" t="inlineStr">
        <is>
          <t>P1</t>
        </is>
      </c>
      <c r="F18" s="8" t="inlineStr">
        <is>
          <t>Manual</t>
        </is>
      </c>
      <c r="G18" s="9" t="inlineStr">
        <is>
          <t>A draft with unsaved changes.</t>
        </is>
      </c>
      <c r="H18" s="9" t="inlineStr">
        <is>
          <t>Exit the builder.</t>
        </is>
      </c>
      <c r="I18" s="9" t="inlineStr">
        <is>
          <t>Offered Continue editing, Discard changes, and Save draft &amp; exit.</t>
        </is>
      </c>
      <c r="J18" s="9" t="inlineStr">
        <is>
          <t>A11</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1C-15</t>
        </is>
      </c>
      <c r="B19" s="5" t="inlineStr">
        <is>
          <t>Phase 1C</t>
        </is>
      </c>
      <c r="C19" s="5" t="inlineStr">
        <is>
          <t>Phase 1C</t>
        </is>
      </c>
      <c r="D19" s="4" t="inlineStr">
        <is>
          <t>Editing</t>
        </is>
      </c>
      <c r="E19" s="5" t="inlineStr">
        <is>
          <t>P2</t>
        </is>
      </c>
      <c r="F19" s="5" t="inlineStr">
        <is>
          <t>Manual</t>
        </is>
      </c>
      <c r="G19" s="6" t="inlineStr">
        <is>
          <t>A draft with no unsaved changes.</t>
        </is>
      </c>
      <c r="H19" s="6" t="inlineStr">
        <is>
          <t>Exit the builder.</t>
        </is>
      </c>
      <c r="I19" s="6" t="inlineStr">
        <is>
          <t>The builder closes immediately with no prompt, and nothing is saved or discarded.</t>
        </is>
      </c>
      <c r="J19" s="6" t="inlineStr">
        <is>
          <t>A11</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1C-16</t>
        </is>
      </c>
      <c r="B20" s="8" t="inlineStr">
        <is>
          <t>Phase 1C</t>
        </is>
      </c>
      <c r="C20" s="8" t="inlineStr">
        <is>
          <t>Phase 1C</t>
        </is>
      </c>
      <c r="D20" s="7" t="inlineStr">
        <is>
          <t>Editing</t>
        </is>
      </c>
      <c r="E20" s="8" t="inlineStr">
        <is>
          <t>P1</t>
        </is>
      </c>
      <c r="F20" s="8" t="inlineStr">
        <is>
          <t>Manual</t>
        </is>
      </c>
      <c r="G20" s="9" t="inlineStr">
        <is>
          <t>A published Automation that is live and firing.</t>
        </is>
      </c>
      <c r="H20" s="9" t="inlineStr">
        <is>
          <t>Change one step, press Save Draft, then fire the Automation's trigger.</t>
        </is>
      </c>
      <c r="I20" s="9" t="inlineStr">
        <is>
          <t>Only the draft is saved. The live version is untouched and still runs on the trigger, and the run history names the published version, not the draft.</t>
        </is>
      </c>
      <c r="J20" s="9" t="inlineStr">
        <is>
          <t>FR-12, FR-13 / AC-BLD-11</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row r="21" ht="40" customHeight="1">
      <c r="A21" s="4" t="inlineStr">
        <is>
          <t>1C-17</t>
        </is>
      </c>
      <c r="B21" s="5" t="inlineStr">
        <is>
          <t>Phase 1C</t>
        </is>
      </c>
      <c r="C21" s="5" t="inlineStr">
        <is>
          <t>Phase 1C</t>
        </is>
      </c>
      <c r="D21" s="4" t="inlineStr">
        <is>
          <t>Simulator</t>
        </is>
      </c>
      <c r="E21" s="5" t="inlineStr">
        <is>
          <t>P1</t>
        </is>
      </c>
      <c r="F21" s="5" t="inlineStr">
        <is>
          <t>Manual</t>
        </is>
      </c>
      <c r="G21" s="6" t="inlineStr">
        <is>
          <t>A draft ready to test.</t>
        </is>
      </c>
      <c r="H21" s="6" t="inlineStr">
        <is>
          <t>Run a test.</t>
        </is>
      </c>
      <c r="I21" s="6" t="inlineStr">
        <is>
          <t>Timeline opens as the default tab. No live CRM record is created, changed or deleted, and the result says so explicitly.</t>
        </is>
      </c>
      <c r="J21" s="6" t="inlineStr">
        <is>
          <t>FR-12 / AC-BLD-09</t>
        </is>
      </c>
      <c r="K21" s="5" t="inlineStr">
        <is>
          <t>Not run</t>
        </is>
      </c>
      <c r="L21" s="6" t="inlineStr"/>
      <c r="M21" s="5" t="inlineStr"/>
      <c r="N21" s="4" t="inlineStr"/>
      <c r="O21" s="4" t="inlineStr"/>
      <c r="P21" s="4" t="inlineStr"/>
      <c r="Q21" s="6" t="inlineStr"/>
      <c r="R21" s="4" t="inlineStr"/>
      <c r="S21" s="4" t="inlineStr"/>
      <c r="T21" s="4" t="inlineStr"/>
      <c r="U21" s="5" t="inlineStr"/>
      <c r="V21" s="6" t="inlineStr"/>
    </row>
    <row r="22" ht="40" customHeight="1">
      <c r="A22" s="7" t="inlineStr">
        <is>
          <t>1C-18</t>
        </is>
      </c>
      <c r="B22" s="8" t="inlineStr">
        <is>
          <t>Phase 1C</t>
        </is>
      </c>
      <c r="C22" s="8" t="inlineStr">
        <is>
          <t>Phase 1C</t>
        </is>
      </c>
      <c r="D22" s="7" t="inlineStr">
        <is>
          <t>Simulator</t>
        </is>
      </c>
      <c r="E22" s="8" t="inlineStr">
        <is>
          <t>P1</t>
        </is>
      </c>
      <c r="F22" s="8" t="inlineStr">
        <is>
          <t>Manual</t>
        </is>
      </c>
      <c r="G22" s="9" t="inlineStr">
        <is>
          <t>A test running.</t>
        </is>
      </c>
      <c r="H22" s="9" t="inlineStr">
        <is>
          <t>Use Play, Step, Reset and Speed.</t>
        </is>
      </c>
      <c r="I22" s="9" t="inlineStr">
        <is>
          <t>Play runs the flow, Step advances one step, Reset returns to the start and Speed changes the playback rate. All four respond.</t>
        </is>
      </c>
      <c r="J22" s="9" t="inlineStr">
        <is>
          <t>AC-BLD-09</t>
        </is>
      </c>
      <c r="K22" s="8" t="inlineStr">
        <is>
          <t>Not run</t>
        </is>
      </c>
      <c r="L22" s="9" t="inlineStr"/>
      <c r="M22" s="8" t="inlineStr"/>
      <c r="N22" s="7" t="inlineStr"/>
      <c r="O22" s="7" t="inlineStr"/>
      <c r="P22" s="7" t="inlineStr"/>
      <c r="Q22" s="9" t="inlineStr"/>
      <c r="R22" s="7" t="inlineStr"/>
      <c r="S22" s="7" t="inlineStr"/>
      <c r="T22" s="7" t="inlineStr"/>
      <c r="U22" s="8" t="inlineStr"/>
      <c r="V22" s="9" t="inlineStr"/>
    </row>
    <row r="23" ht="40" customHeight="1">
      <c r="A23" s="4" t="inlineStr">
        <is>
          <t>1C-19</t>
        </is>
      </c>
      <c r="B23" s="5" t="inlineStr">
        <is>
          <t>Phase 1C</t>
        </is>
      </c>
      <c r="C23" s="5" t="inlineStr">
        <is>
          <t>Phase 1C</t>
        </is>
      </c>
      <c r="D23" s="4" t="inlineStr">
        <is>
          <t>Simulator</t>
        </is>
      </c>
      <c r="E23" s="5" t="inlineStr">
        <is>
          <t>P1</t>
        </is>
      </c>
      <c r="F23" s="5" t="inlineStr">
        <is>
          <t>Manual</t>
        </is>
      </c>
      <c r="G23" s="6" t="inlineStr">
        <is>
          <t>A draft with unsaved changes.</t>
        </is>
      </c>
      <c r="H23" s="6" t="inlineStr">
        <is>
          <t>Press Test automation, then edit the draft again while the result is open.</t>
        </is>
      </c>
      <c r="I23" s="6" t="inlineStr">
        <is>
          <t>A Test Draft snapshot is saved before the run, and the run executes against that snapshot. The later edit does not change what was tested; the result stays tied to the snapshot it ran on.</t>
        </is>
      </c>
      <c r="J23" s="6" t="inlineStr">
        <is>
          <t>FR-13 / AC-BLD-09</t>
        </is>
      </c>
      <c r="K23" s="5" t="inlineStr">
        <is>
          <t>Not run</t>
        </is>
      </c>
      <c r="L23" s="6" t="inlineStr"/>
      <c r="M23" s="5" t="inlineStr"/>
      <c r="N23" s="4" t="inlineStr"/>
      <c r="O23" s="4" t="inlineStr"/>
      <c r="P23" s="4" t="inlineStr"/>
      <c r="Q23" s="6" t="inlineStr"/>
      <c r="R23" s="4" t="inlineStr"/>
      <c r="S23" s="4" t="inlineStr"/>
      <c r="T23" s="4" t="inlineStr"/>
      <c r="U23" s="5" t="inlineStr"/>
      <c r="V23" s="6" t="inlineStr"/>
    </row>
    <row r="24" ht="40" customHeight="1">
      <c r="A24" s="7" t="inlineStr">
        <is>
          <t>1C-20</t>
        </is>
      </c>
      <c r="B24" s="8" t="inlineStr">
        <is>
          <t>Phase 1C</t>
        </is>
      </c>
      <c r="C24" s="8" t="inlineStr">
        <is>
          <t>Phase 1C</t>
        </is>
      </c>
      <c r="D24" s="7" t="inlineStr">
        <is>
          <t>Simulator</t>
        </is>
      </c>
      <c r="E24" s="8" t="inlineStr">
        <is>
          <t>P1</t>
        </is>
      </c>
      <c r="F24" s="8" t="inlineStr">
        <is>
          <t>Manual</t>
        </is>
      </c>
      <c r="G24" s="9" t="inlineStr">
        <is>
          <t>A finished test run on a draft that creates a note, a meeting, a next action and a file request.</t>
        </is>
      </c>
      <c r="H24" s="9" t="inlineStr">
        <is>
          <t>Open Before &amp; After.</t>
        </is>
      </c>
      <c r="I24" s="9" t="inlineStr">
        <is>
          <t>It lists the actual CRM records and fields the publish would produce — the note, the meeting, the next action and the file request, each named — not two copies of the flow diagram.</t>
        </is>
      </c>
      <c r="J24" s="9" t="inlineStr">
        <is>
          <t>FR-13 / AC-BLD-09</t>
        </is>
      </c>
      <c r="K24" s="8" t="inlineStr">
        <is>
          <t>Not run</t>
        </is>
      </c>
      <c r="L24" s="9" t="inlineStr"/>
      <c r="M24" s="8" t="inlineStr"/>
      <c r="N24" s="7" t="inlineStr"/>
      <c r="O24" s="7" t="inlineStr"/>
      <c r="P24" s="7" t="inlineStr"/>
      <c r="Q24" s="9" t="inlineStr"/>
      <c r="R24" s="7" t="inlineStr"/>
      <c r="S24" s="7" t="inlineStr"/>
      <c r="T24" s="7" t="inlineStr"/>
      <c r="U24" s="8" t="inlineStr"/>
      <c r="V24" s="9" t="inlineStr"/>
    </row>
    <row r="25" ht="40" customHeight="1">
      <c r="A25" s="4" t="inlineStr">
        <is>
          <t>1C-21</t>
        </is>
      </c>
      <c r="B25" s="5" t="inlineStr">
        <is>
          <t>Phase 1C</t>
        </is>
      </c>
      <c r="C25" s="5" t="inlineStr">
        <is>
          <t>Phase 1C</t>
        </is>
      </c>
      <c r="D25" s="4" t="inlineStr">
        <is>
          <t>Publish</t>
        </is>
      </c>
      <c r="E25" s="5" t="inlineStr">
        <is>
          <t>P1</t>
        </is>
      </c>
      <c r="F25" s="5" t="inlineStr">
        <is>
          <t>Manual</t>
        </is>
      </c>
      <c r="G25" s="6" t="inlineStr">
        <is>
          <t>A valid draft, never tested.</t>
        </is>
      </c>
      <c r="H25" s="6" t="inlineStr">
        <is>
          <t>Publish it.</t>
        </is>
      </c>
      <c r="I25" s="6" t="inlineStr">
        <is>
          <t>Publishing succeeds. A missing or outdated test does not block it, and the published version is recorded.</t>
        </is>
      </c>
      <c r="J25" s="6" t="inlineStr">
        <is>
          <t>FR-13 / AC-BLD-10</t>
        </is>
      </c>
      <c r="K25" s="5" t="inlineStr">
        <is>
          <t>Not run</t>
        </is>
      </c>
      <c r="L25" s="6" t="inlineStr"/>
      <c r="M25" s="5" t="inlineStr"/>
      <c r="N25" s="4" t="inlineStr"/>
      <c r="O25" s="4" t="inlineStr"/>
      <c r="P25" s="4" t="inlineStr"/>
      <c r="Q25" s="6" t="inlineStr"/>
      <c r="R25" s="4" t="inlineStr"/>
      <c r="S25" s="4" t="inlineStr"/>
      <c r="T25" s="4" t="inlineStr"/>
      <c r="U25" s="5" t="inlineStr"/>
      <c r="V25" s="6" t="inlineStr"/>
    </row>
    <row r="26" ht="40" customHeight="1">
      <c r="A26" s="7" t="inlineStr">
        <is>
          <t>1C-22</t>
        </is>
      </c>
      <c r="B26" s="8" t="inlineStr">
        <is>
          <t>Phase 1C</t>
        </is>
      </c>
      <c r="C26" s="8" t="inlineStr">
        <is>
          <t>Phase 1C</t>
        </is>
      </c>
      <c r="D26" s="7" t="inlineStr">
        <is>
          <t>Publish</t>
        </is>
      </c>
      <c r="E26" s="8" t="inlineStr">
        <is>
          <t>P1</t>
        </is>
      </c>
      <c r="F26" s="8" t="inlineStr">
        <is>
          <t>Manual</t>
        </is>
      </c>
      <c r="G26" s="9" t="inlineStr">
        <is>
          <t>A draft ready to publish.</t>
        </is>
      </c>
      <c r="H26" s="9" t="inlineStr">
        <is>
          <t>Open the publish confirmation.</t>
        </is>
      </c>
      <c r="I26" s="9" t="inlineStr">
        <is>
          <t>It shows Before &amp; After, the company scope and the test status.</t>
        </is>
      </c>
      <c r="J26" s="9" t="inlineStr">
        <is>
          <t>A11</t>
        </is>
      </c>
      <c r="K26" s="8" t="inlineStr">
        <is>
          <t>Not run</t>
        </is>
      </c>
      <c r="L26" s="9" t="inlineStr"/>
      <c r="M26" s="8" t="inlineStr"/>
      <c r="N26" s="7" t="inlineStr"/>
      <c r="O26" s="7" t="inlineStr"/>
      <c r="P26" s="7" t="inlineStr"/>
      <c r="Q26" s="9" t="inlineStr"/>
      <c r="R26" s="7" t="inlineStr"/>
      <c r="S26" s="7" t="inlineStr"/>
      <c r="T26" s="7" t="inlineStr"/>
      <c r="U26" s="8" t="inlineStr"/>
      <c r="V26" s="9" t="inlineStr"/>
    </row>
    <row r="27" ht="40" customHeight="1">
      <c r="A27" s="4" t="inlineStr">
        <is>
          <t>1C-23</t>
        </is>
      </c>
      <c r="B27" s="5" t="inlineStr">
        <is>
          <t>Phase 1C</t>
        </is>
      </c>
      <c r="C27" s="5" t="inlineStr">
        <is>
          <t>Phase 1C</t>
        </is>
      </c>
      <c r="D27" s="4" t="inlineStr">
        <is>
          <t>Publish</t>
        </is>
      </c>
      <c r="E27" s="5" t="inlineStr">
        <is>
          <t>P1</t>
        </is>
      </c>
      <c r="F27" s="5" t="inlineStr">
        <is>
          <t>Manual</t>
        </is>
      </c>
      <c r="G27" s="6" t="inlineStr">
        <is>
          <t>A draft ready to publish.</t>
        </is>
      </c>
      <c r="H27" s="6" t="inlineStr">
        <is>
          <t>Publish it.</t>
        </is>
      </c>
      <c r="I27" s="6" t="inlineStr">
        <is>
          <t>The live version is replaced in one step and the previous version recorded.</t>
        </is>
      </c>
      <c r="J27" s="6" t="inlineStr">
        <is>
          <t>FR-14</t>
        </is>
      </c>
      <c r="K27" s="5" t="inlineStr">
        <is>
          <t>Not run</t>
        </is>
      </c>
      <c r="L27" s="6" t="inlineStr"/>
      <c r="M27" s="5" t="inlineStr"/>
      <c r="N27" s="4" t="inlineStr"/>
      <c r="O27" s="4" t="inlineStr"/>
      <c r="P27" s="4" t="inlineStr"/>
      <c r="Q27" s="6" t="inlineStr"/>
      <c r="R27" s="4" t="inlineStr"/>
      <c r="S27" s="4" t="inlineStr"/>
      <c r="T27" s="4" t="inlineStr"/>
      <c r="U27" s="5" t="inlineStr"/>
      <c r="V27" s="6" t="inlineStr"/>
    </row>
    <row r="28" ht="40" customHeight="1">
      <c r="A28" s="7" t="inlineStr">
        <is>
          <t>1C-24</t>
        </is>
      </c>
      <c r="B28" s="8" t="inlineStr">
        <is>
          <t>Phase 1C</t>
        </is>
      </c>
      <c r="C28" s="8" t="inlineStr">
        <is>
          <t>Phase 1C</t>
        </is>
      </c>
      <c r="D28" s="7" t="inlineStr">
        <is>
          <t>Publish</t>
        </is>
      </c>
      <c r="E28" s="8" t="inlineStr">
        <is>
          <t>P1</t>
        </is>
      </c>
      <c r="F28" s="8" t="inlineStr">
        <is>
          <t>Manual</t>
        </is>
      </c>
      <c r="G28" s="9" t="inlineStr">
        <is>
          <t>An action missing required configuration.</t>
        </is>
      </c>
      <c r="H28" s="9" t="inlineStr">
        <is>
          <t>Try to publish.</t>
        </is>
      </c>
      <c r="I28" s="9" t="inlineStr">
        <is>
          <t>Publishing is blocked. The offending step is highlighted, the reason names the missing configuration, the draft stays saved, and the live version keeps running unchanged.</t>
        </is>
      </c>
      <c r="J28" s="9" t="inlineStr">
        <is>
          <t>A11</t>
        </is>
      </c>
      <c r="K28" s="8" t="inlineStr">
        <is>
          <t>Not run</t>
        </is>
      </c>
      <c r="L28" s="9" t="inlineStr"/>
      <c r="M28" s="8" t="inlineStr"/>
      <c r="N28" s="7" t="inlineStr"/>
      <c r="O28" s="7" t="inlineStr"/>
      <c r="P28" s="7" t="inlineStr"/>
      <c r="Q28" s="9" t="inlineStr"/>
      <c r="R28" s="7" t="inlineStr"/>
      <c r="S28" s="7" t="inlineStr"/>
      <c r="T28" s="7" t="inlineStr"/>
      <c r="U28" s="8" t="inlineStr"/>
      <c r="V28" s="9" t="inlineStr"/>
    </row>
    <row r="29" ht="40" customHeight="1">
      <c r="A29" s="4" t="inlineStr">
        <is>
          <t>1C-25</t>
        </is>
      </c>
      <c r="B29" s="5" t="inlineStr">
        <is>
          <t>Phase 1C</t>
        </is>
      </c>
      <c r="C29" s="5" t="inlineStr">
        <is>
          <t>Phase 1C</t>
        </is>
      </c>
      <c r="D29" s="4" t="inlineStr">
        <is>
          <t>Publish</t>
        </is>
      </c>
      <c r="E29" s="5" t="inlineStr">
        <is>
          <t>P1</t>
        </is>
      </c>
      <c r="F29" s="5" t="inlineStr">
        <is>
          <t>Manual</t>
        </is>
      </c>
      <c r="G29" s="6" t="inlineStr">
        <is>
          <t>A deleted target stage referenced.</t>
        </is>
      </c>
      <c r="H29" s="6" t="inlineStr">
        <is>
          <t>Try to publish.</t>
        </is>
      </c>
      <c r="I29" s="6" t="inlineStr">
        <is>
          <t>Publishing is blocked. The step referencing the deleted stage is highlighted, the draft stays saved, and the live version keeps running unchanged.</t>
        </is>
      </c>
      <c r="J29" s="6" t="inlineStr">
        <is>
          <t>A11</t>
        </is>
      </c>
      <c r="K29" s="5" t="inlineStr">
        <is>
          <t>Not run</t>
        </is>
      </c>
      <c r="L29" s="6" t="inlineStr"/>
      <c r="M29" s="5" t="inlineStr"/>
      <c r="N29" s="4" t="inlineStr"/>
      <c r="O29" s="4" t="inlineStr"/>
      <c r="P29" s="4" t="inlineStr"/>
      <c r="Q29" s="6" t="inlineStr"/>
      <c r="R29" s="4" t="inlineStr"/>
      <c r="S29" s="4" t="inlineStr"/>
      <c r="T29" s="4" t="inlineStr"/>
      <c r="U29" s="5" t="inlineStr"/>
      <c r="V29" s="6" t="inlineStr"/>
    </row>
    <row r="30" ht="40" customHeight="1">
      <c r="A30" s="7" t="inlineStr">
        <is>
          <t>1C-26</t>
        </is>
      </c>
      <c r="B30" s="8" t="inlineStr">
        <is>
          <t>Phase 1C</t>
        </is>
      </c>
      <c r="C30" s="8" t="inlineStr">
        <is>
          <t>Phase 1C</t>
        </is>
      </c>
      <c r="D30" s="7" t="inlineStr">
        <is>
          <t>Publish</t>
        </is>
      </c>
      <c r="E30" s="8" t="inlineStr">
        <is>
          <t>P1</t>
        </is>
      </c>
      <c r="F30" s="8" t="inlineStr">
        <is>
          <t>Manual</t>
        </is>
      </c>
      <c r="G30" s="9" t="inlineStr">
        <is>
          <t>A file-received trigger pointing at a removed request.</t>
        </is>
      </c>
      <c r="H30" s="9" t="inlineStr">
        <is>
          <t>Try to publish.</t>
        </is>
      </c>
      <c r="I30" s="9" t="inlineStr">
        <is>
          <t>Publishing is blocked. The trigger is highlighted with a reason naming the missing file request, the draft stays saved, and the live version keeps running unchanged.</t>
        </is>
      </c>
      <c r="J30" s="9" t="inlineStr">
        <is>
          <t>A11</t>
        </is>
      </c>
      <c r="K30" s="8" t="inlineStr">
        <is>
          <t>Not run</t>
        </is>
      </c>
      <c r="L30" s="9" t="inlineStr"/>
      <c r="M30" s="8" t="inlineStr"/>
      <c r="N30" s="7" t="inlineStr"/>
      <c r="O30" s="7" t="inlineStr"/>
      <c r="P30" s="7" t="inlineStr"/>
      <c r="Q30" s="9" t="inlineStr"/>
      <c r="R30" s="7" t="inlineStr"/>
      <c r="S30" s="7" t="inlineStr"/>
      <c r="T30" s="7" t="inlineStr"/>
      <c r="U30" s="8" t="inlineStr"/>
      <c r="V30" s="9" t="inlineStr"/>
    </row>
    <row r="31" ht="40" customHeight="1">
      <c r="A31" s="4" t="inlineStr">
        <is>
          <t>1C-27</t>
        </is>
      </c>
      <c r="B31" s="5" t="inlineStr">
        <is>
          <t>Phase 1C</t>
        </is>
      </c>
      <c r="C31" s="5" t="inlineStr">
        <is>
          <t>Phase 1C</t>
        </is>
      </c>
      <c r="D31" s="4" t="inlineStr">
        <is>
          <t>Publish</t>
        </is>
      </c>
      <c r="E31" s="5" t="inlineStr">
        <is>
          <t>P1</t>
        </is>
      </c>
      <c r="F31" s="5" t="inlineStr">
        <is>
          <t>Manual</t>
        </is>
      </c>
      <c r="G31" s="6" t="inlineStr">
        <is>
          <t>A branch that loops back on itself.</t>
        </is>
      </c>
      <c r="H31" s="6" t="inlineStr">
        <is>
          <t>Try to publish.</t>
        </is>
      </c>
      <c r="I31" s="6" t="inlineStr">
        <is>
          <t>Publishing is blocked. The looping branch is highlighted, the reason explains the cycle, the draft stays saved, and the live version keeps running unchanged.</t>
        </is>
      </c>
      <c r="J31" s="6" t="inlineStr">
        <is>
          <t>A11</t>
        </is>
      </c>
      <c r="K31" s="5" t="inlineStr">
        <is>
          <t>Not run</t>
        </is>
      </c>
      <c r="L31" s="6" t="inlineStr"/>
      <c r="M31" s="5" t="inlineStr"/>
      <c r="N31" s="4" t="inlineStr"/>
      <c r="O31" s="4" t="inlineStr"/>
      <c r="P31" s="4" t="inlineStr"/>
      <c r="Q31" s="6" t="inlineStr"/>
      <c r="R31" s="4" t="inlineStr"/>
      <c r="S31" s="4" t="inlineStr"/>
      <c r="T31" s="4" t="inlineStr"/>
      <c r="U31" s="5" t="inlineStr"/>
      <c r="V31" s="6" t="inlineStr"/>
    </row>
    <row r="32" ht="40" customHeight="1">
      <c r="A32" s="7" t="inlineStr">
        <is>
          <t>1C-28</t>
        </is>
      </c>
      <c r="B32" s="8" t="inlineStr">
        <is>
          <t>Phase 1C</t>
        </is>
      </c>
      <c r="C32" s="8" t="inlineStr">
        <is>
          <t>Phase 1C</t>
        </is>
      </c>
      <c r="D32" s="7" t="inlineStr">
        <is>
          <t>Publish</t>
        </is>
      </c>
      <c r="E32" s="8" t="inlineStr">
        <is>
          <t>P1</t>
        </is>
      </c>
      <c r="F32" s="8" t="inlineStr">
        <is>
          <t>Manual</t>
        </is>
      </c>
      <c r="G32" s="9" t="inlineStr">
        <is>
          <t>A protected milestone used as a move target.</t>
        </is>
      </c>
      <c r="H32" s="9" t="inlineStr">
        <is>
          <t>Try to publish.</t>
        </is>
      </c>
      <c r="I32" s="9" t="inlineStr">
        <is>
          <t>Publishing is blocked. The move step is highlighted with a reason stating that protected milestones cannot be a move target, and the live version keeps running unchanged.</t>
        </is>
      </c>
      <c r="J32" s="9" t="inlineStr">
        <is>
          <t>A11</t>
        </is>
      </c>
      <c r="K32" s="8" t="inlineStr">
        <is>
          <t>Not run</t>
        </is>
      </c>
      <c r="L32" s="9" t="inlineStr"/>
      <c r="M32" s="8" t="inlineStr"/>
      <c r="N32" s="7" t="inlineStr"/>
      <c r="O32" s="7" t="inlineStr"/>
      <c r="P32" s="7" t="inlineStr"/>
      <c r="Q32" s="9" t="inlineStr"/>
      <c r="R32" s="7" t="inlineStr"/>
      <c r="S32" s="7" t="inlineStr"/>
      <c r="T32" s="7" t="inlineStr"/>
      <c r="U32" s="8" t="inlineStr"/>
      <c r="V32" s="9" t="inlineStr"/>
    </row>
    <row r="33" ht="40" customHeight="1">
      <c r="A33" s="4" t="inlineStr">
        <is>
          <t>1C-29</t>
        </is>
      </c>
      <c r="B33" s="5" t="inlineStr">
        <is>
          <t>Phase 1C</t>
        </is>
      </c>
      <c r="C33" s="5" t="inlineStr">
        <is>
          <t>Phase 1C</t>
        </is>
      </c>
      <c r="D33" s="4" t="inlineStr">
        <is>
          <t>Publish</t>
        </is>
      </c>
      <c r="E33" s="5" t="inlineStr">
        <is>
          <t>P1</t>
        </is>
      </c>
      <c r="F33" s="5" t="inlineStr">
        <is>
          <t>Manual</t>
        </is>
      </c>
      <c r="G33" s="6" t="inlineStr">
        <is>
          <t>A wait that cannot end.</t>
        </is>
      </c>
      <c r="H33" s="6" t="inlineStr">
        <is>
          <t>Try to publish.</t>
        </is>
      </c>
      <c r="I33" s="6" t="inlineStr">
        <is>
          <t>Publishing is blocked. The wait step is highlighted with a reason stating it has no safe ending, and the live version keeps running unchanged.</t>
        </is>
      </c>
      <c r="J33" s="6" t="inlineStr">
        <is>
          <t>A11</t>
        </is>
      </c>
      <c r="K33" s="5" t="inlineStr">
        <is>
          <t>Not run</t>
        </is>
      </c>
      <c r="L33" s="6" t="inlineStr"/>
      <c r="M33" s="5" t="inlineStr"/>
      <c r="N33" s="4" t="inlineStr"/>
      <c r="O33" s="4" t="inlineStr"/>
      <c r="P33" s="4" t="inlineStr"/>
      <c r="Q33" s="6" t="inlineStr"/>
      <c r="R33" s="4" t="inlineStr"/>
      <c r="S33" s="4" t="inlineStr"/>
      <c r="T33" s="4" t="inlineStr"/>
      <c r="U33" s="5" t="inlineStr"/>
      <c r="V33" s="6" t="inlineStr"/>
    </row>
    <row r="34" ht="40" customHeight="1">
      <c r="A34" s="7" t="inlineStr">
        <is>
          <t>1C-30</t>
        </is>
      </c>
      <c r="B34" s="8" t="inlineStr">
        <is>
          <t>Phase 1C</t>
        </is>
      </c>
      <c r="C34" s="8" t="inlineStr">
        <is>
          <t>Phase 1C</t>
        </is>
      </c>
      <c r="D34" s="7" t="inlineStr">
        <is>
          <t>State</t>
        </is>
      </c>
      <c r="E34" s="8" t="inlineStr">
        <is>
          <t>P1</t>
        </is>
      </c>
      <c r="F34" s="8" t="inlineStr">
        <is>
          <t>Manual</t>
        </is>
      </c>
      <c r="G34" s="9" t="inlineStr">
        <is>
          <t>A published Automation.</t>
        </is>
      </c>
      <c r="H34" s="9" t="inlineStr">
        <is>
          <t>Toggle it Active then Inactive.</t>
        </is>
      </c>
      <c r="I34" s="9" t="inlineStr">
        <is>
          <t>The change takes effect immediately: an inactive Automation stops running, and both Map and List show the new state.</t>
        </is>
      </c>
      <c r="J34" s="9" t="inlineStr">
        <is>
          <t>FR-15 / AC-BLD-12</t>
        </is>
      </c>
      <c r="K34" s="8" t="inlineStr">
        <is>
          <t>Not run</t>
        </is>
      </c>
      <c r="L34" s="9" t="inlineStr"/>
      <c r="M34" s="8" t="inlineStr"/>
      <c r="N34" s="7" t="inlineStr"/>
      <c r="O34" s="7" t="inlineStr"/>
      <c r="P34" s="7" t="inlineStr"/>
      <c r="Q34" s="9" t="inlineStr"/>
      <c r="R34" s="7" t="inlineStr"/>
      <c r="S34" s="7" t="inlineStr"/>
      <c r="T34" s="7" t="inlineStr"/>
      <c r="U34" s="8" t="inlineStr"/>
      <c r="V34" s="9" t="inlineStr"/>
    </row>
    <row r="35" ht="40" customHeight="1">
      <c r="A35" s="4" t="inlineStr">
        <is>
          <t>1C-31</t>
        </is>
      </c>
      <c r="B35" s="5" t="inlineStr">
        <is>
          <t>Phase 1C</t>
        </is>
      </c>
      <c r="C35" s="5" t="inlineStr">
        <is>
          <t>Phase 1C</t>
        </is>
      </c>
      <c r="D35" s="4" t="inlineStr">
        <is>
          <t>State</t>
        </is>
      </c>
      <c r="E35" s="5" t="inlineStr">
        <is>
          <t>P1</t>
        </is>
      </c>
      <c r="F35" s="5" t="inlineStr">
        <is>
          <t>Manual</t>
        </is>
      </c>
      <c r="G35" s="6" t="inlineStr">
        <is>
          <t>A pipeline with several Automations.</t>
        </is>
      </c>
      <c r="H35" s="6" t="inlineStr">
        <is>
          <t>Pause then resume at pipeline level.</t>
        </is>
      </c>
      <c r="I35" s="6" t="inlineStr">
        <is>
          <t>All Automations in the pipeline follow. The counts on Map and List stay in step.</t>
        </is>
      </c>
      <c r="J35" s="6" t="inlineStr">
        <is>
          <t>A9</t>
        </is>
      </c>
      <c r="K35" s="5" t="inlineStr">
        <is>
          <t>Not run</t>
        </is>
      </c>
      <c r="L35" s="6" t="inlineStr"/>
      <c r="M35" s="5" t="inlineStr"/>
      <c r="N35" s="4" t="inlineStr"/>
      <c r="O35" s="4" t="inlineStr"/>
      <c r="P35" s="4" t="inlineStr"/>
      <c r="Q35" s="6" t="inlineStr"/>
      <c r="R35" s="4" t="inlineStr"/>
      <c r="S35" s="4" t="inlineStr"/>
      <c r="T35" s="4" t="inlineStr"/>
      <c r="U35" s="5" t="inlineStr"/>
      <c r="V35" s="6" t="inlineStr"/>
    </row>
    <row r="36" ht="40" customHeight="1">
      <c r="A36" s="7" t="inlineStr">
        <is>
          <t>1C-32</t>
        </is>
      </c>
      <c r="B36" s="8" t="inlineStr">
        <is>
          <t>Phase 1C</t>
        </is>
      </c>
      <c r="C36" s="8" t="inlineStr">
        <is>
          <t>Phase 1C</t>
        </is>
      </c>
      <c r="D36" s="7" t="inlineStr">
        <is>
          <t>State</t>
        </is>
      </c>
      <c r="E36" s="8" t="inlineStr">
        <is>
          <t>P2</t>
        </is>
      </c>
      <c r="F36" s="8" t="inlineStr">
        <is>
          <t>Manual</t>
        </is>
      </c>
      <c r="G36" s="9" t="inlineStr">
        <is>
          <t>Pipeline paused with impact comparison shown.</t>
        </is>
      </c>
      <c r="H36" s="9" t="inlineStr">
        <is>
          <t>Compare it with a single-Automation test.</t>
        </is>
      </c>
      <c r="I36" s="9" t="inlineStr">
        <is>
          <t>The two are visibly different features and are not confused in the interface.</t>
        </is>
      </c>
      <c r="J36" s="9" t="inlineStr">
        <is>
          <t>A11</t>
        </is>
      </c>
      <c r="K36" s="8" t="inlineStr">
        <is>
          <t>Not run</t>
        </is>
      </c>
      <c r="L36" s="9" t="inlineStr"/>
      <c r="M36" s="8" t="inlineStr"/>
      <c r="N36" s="7" t="inlineStr"/>
      <c r="O36" s="7" t="inlineStr"/>
      <c r="P36" s="7" t="inlineStr"/>
      <c r="Q36" s="9" t="inlineStr"/>
      <c r="R36" s="7" t="inlineStr"/>
      <c r="S36" s="7" t="inlineStr"/>
      <c r="T36" s="7" t="inlineStr"/>
      <c r="U36" s="8" t="inlineStr"/>
      <c r="V36" s="9" t="inlineStr"/>
    </row>
    <row r="37" ht="40" customHeight="1">
      <c r="A37" s="4" t="inlineStr">
        <is>
          <t>1C-33</t>
        </is>
      </c>
      <c r="B37" s="5" t="inlineStr">
        <is>
          <t>Phase 1C</t>
        </is>
      </c>
      <c r="C37" s="5" t="inlineStr">
        <is>
          <t>Phase 1C</t>
        </is>
      </c>
      <c r="D37" s="4" t="inlineStr">
        <is>
          <t>History</t>
        </is>
      </c>
      <c r="E37" s="5" t="inlineStr">
        <is>
          <t>P1</t>
        </is>
      </c>
      <c r="F37" s="5" t="inlineStr">
        <is>
          <t>Manual</t>
        </is>
      </c>
      <c r="G37" s="6" t="inlineStr">
        <is>
          <t>An Automation published twice.</t>
        </is>
      </c>
      <c r="H37" s="6" t="inlineStr">
        <is>
          <t>Open change history.</t>
        </is>
      </c>
      <c r="I37" s="6" t="inlineStr">
        <is>
          <t>Each entry records the version, the company scope, the user and the timestamp.</t>
        </is>
      </c>
      <c r="J37" s="6" t="inlineStr">
        <is>
          <t>FR-10</t>
        </is>
      </c>
      <c r="K37" s="5" t="inlineStr">
        <is>
          <t>Not run</t>
        </is>
      </c>
      <c r="L37" s="6" t="inlineStr"/>
      <c r="M37" s="5" t="inlineStr"/>
      <c r="N37" s="4" t="inlineStr"/>
      <c r="O37" s="4" t="inlineStr"/>
      <c r="P37" s="4" t="inlineStr"/>
      <c r="Q37" s="6" t="inlineStr"/>
      <c r="R37" s="4" t="inlineStr"/>
      <c r="S37" s="4" t="inlineStr"/>
      <c r="T37" s="4" t="inlineStr"/>
      <c r="U37" s="5" t="inlineStr"/>
      <c r="V37" s="6" t="inlineStr"/>
    </row>
    <row r="38" ht="40" customHeight="1">
      <c r="A38" s="7" t="inlineStr">
        <is>
          <t>1C-34</t>
        </is>
      </c>
      <c r="B38" s="8" t="inlineStr">
        <is>
          <t>Phase 1C</t>
        </is>
      </c>
      <c r="C38" s="8" t="inlineStr">
        <is>
          <t>Phase 1C</t>
        </is>
      </c>
      <c r="D38" s="7" t="inlineStr">
        <is>
          <t>File request</t>
        </is>
      </c>
      <c r="E38" s="8" t="inlineStr">
        <is>
          <t>P1</t>
        </is>
      </c>
      <c r="F38" s="8" t="inlineStr">
        <is>
          <t>Manual</t>
        </is>
      </c>
      <c r="G38" s="9" t="inlineStr">
        <is>
          <t>Building a flow with a requested-file-received trigger.</t>
        </is>
      </c>
      <c r="H38" s="9" t="inlineStr">
        <is>
          <t>Save without selecting a named request.</t>
        </is>
      </c>
      <c r="I38" s="9" t="inlineStr">
        <is>
          <t>Saving is refused. The trigger is highlighted with a reason that a real named file request must be selected first, and no partial flow is stored.</t>
        </is>
      </c>
      <c r="J38" s="9" t="inlineStr">
        <is>
          <t>FR-20 / AC-RUN-01</t>
        </is>
      </c>
      <c r="K38" s="8" t="inlineStr">
        <is>
          <t>Not run</t>
        </is>
      </c>
      <c r="L38" s="9" t="inlineStr"/>
      <c r="M38" s="8" t="inlineStr"/>
      <c r="N38" s="7" t="inlineStr"/>
      <c r="O38" s="7" t="inlineStr"/>
      <c r="P38" s="7" t="inlineStr"/>
      <c r="Q38" s="9" t="inlineStr"/>
      <c r="R38" s="7" t="inlineStr"/>
      <c r="S38" s="7" t="inlineStr"/>
      <c r="T38" s="7" t="inlineStr"/>
      <c r="U38" s="8" t="inlineStr"/>
      <c r="V38" s="9" t="inlineStr"/>
    </row>
    <row r="39" ht="40" customHeight="1">
      <c r="A39" s="4" t="inlineStr">
        <is>
          <t>1C-35</t>
        </is>
      </c>
      <c r="B39" s="5" t="inlineStr">
        <is>
          <t>Phase 1C</t>
        </is>
      </c>
      <c r="C39" s="5" t="inlineStr">
        <is>
          <t>Phase 1C</t>
        </is>
      </c>
      <c r="D39" s="4" t="inlineStr">
        <is>
          <t>File request</t>
        </is>
      </c>
      <c r="E39" s="5" t="inlineStr">
        <is>
          <t>P1</t>
        </is>
      </c>
      <c r="F39" s="5" t="inlineStr">
        <is>
          <t>Manual</t>
        </is>
      </c>
      <c r="G39" s="6" t="inlineStr">
        <is>
          <t>A Deal with an open file request.</t>
        </is>
      </c>
      <c r="H39" s="6" t="inlineStr">
        <is>
          <t>Upload the matching file.</t>
        </is>
      </c>
      <c r="I39" s="6" t="inlineStr">
        <is>
          <t>The requirement resolves automatically across focus, history and card status.</t>
        </is>
      </c>
      <c r="J39" s="6" t="inlineStr">
        <is>
          <t>FR-20</t>
        </is>
      </c>
      <c r="K39" s="5" t="inlineStr">
        <is>
          <t>Not run</t>
        </is>
      </c>
      <c r="L39" s="6" t="inlineStr"/>
      <c r="M39" s="5" t="inlineStr"/>
      <c r="N39" s="4" t="inlineStr"/>
      <c r="O39" s="4" t="inlineStr"/>
      <c r="P39" s="4" t="inlineStr"/>
      <c r="Q39" s="6" t="inlineStr"/>
      <c r="R39" s="4" t="inlineStr"/>
      <c r="S39" s="4" t="inlineStr"/>
      <c r="T39" s="4" t="inlineStr"/>
      <c r="U39" s="5" t="inlineStr"/>
      <c r="V39" s="6" t="inlineStr"/>
    </row>
    <row r="40" ht="40" customHeight="1">
      <c r="A40" s="7" t="inlineStr">
        <is>
          <t>1C-36</t>
        </is>
      </c>
      <c r="B40" s="8" t="inlineStr">
        <is>
          <t>Phase 1C</t>
        </is>
      </c>
      <c r="C40" s="8" t="inlineStr">
        <is>
          <t>Phase 1C</t>
        </is>
      </c>
      <c r="D40" s="7" t="inlineStr">
        <is>
          <t>Required work</t>
        </is>
      </c>
      <c r="E40" s="8" t="inlineStr">
        <is>
          <t>P1</t>
        </is>
      </c>
      <c r="F40" s="8" t="inlineStr">
        <is>
          <t>Manual</t>
        </is>
      </c>
      <c r="G40" s="9" t="inlineStr">
        <is>
          <t>A Deal with three outstanding requirements.</t>
        </is>
      </c>
      <c r="H40" s="9" t="inlineStr">
        <is>
          <t>Attempt a stage move.</t>
        </is>
      </c>
      <c r="I40" s="9" t="inlineStr">
        <is>
          <t>All three listed, Continue disabled, each resolvable inline, original action resumes when empty.</t>
        </is>
      </c>
      <c r="J40" s="9" t="inlineStr">
        <is>
          <t>FR-19 / AC-RUN-02</t>
        </is>
      </c>
      <c r="K40" s="8" t="inlineStr">
        <is>
          <t>Not run</t>
        </is>
      </c>
      <c r="L40" s="9" t="inlineStr"/>
      <c r="M40" s="8" t="inlineStr"/>
      <c r="N40" s="7" t="inlineStr"/>
      <c r="O40" s="7" t="inlineStr"/>
      <c r="P40" s="7" t="inlineStr"/>
      <c r="Q40" s="9" t="inlineStr"/>
      <c r="R40" s="7" t="inlineStr"/>
      <c r="S40" s="7" t="inlineStr"/>
      <c r="T40" s="7" t="inlineStr"/>
      <c r="U40" s="8" t="inlineStr"/>
      <c r="V40" s="9" t="inlineStr"/>
    </row>
    <row r="41" ht="40" customHeight="1">
      <c r="A41" s="4" t="inlineStr">
        <is>
          <t>1C-37</t>
        </is>
      </c>
      <c r="B41" s="5" t="inlineStr">
        <is>
          <t>Phase 1C</t>
        </is>
      </c>
      <c r="C41" s="5" t="inlineStr">
        <is>
          <t>Phase 1C</t>
        </is>
      </c>
      <c r="D41" s="4" t="inlineStr">
        <is>
          <t>Required work</t>
        </is>
      </c>
      <c r="E41" s="5" t="inlineStr">
        <is>
          <t>P1</t>
        </is>
      </c>
      <c r="F41" s="5" t="inlineStr">
        <is>
          <t>Manual</t>
        </is>
      </c>
      <c r="G41" s="6" t="inlineStr">
        <is>
          <t>Ten or more outstanding requirements.</t>
        </is>
      </c>
      <c r="H41" s="6" t="inlineStr">
        <is>
          <t>Attempt the blocked action.</t>
        </is>
      </c>
      <c r="I41" s="6" t="inlineStr">
        <is>
          <t>Every outstanding item is listed with a scrollable dialog. Nothing is truncated, and the count in the heading matches the number of rows.</t>
        </is>
      </c>
      <c r="J41" s="6" t="inlineStr">
        <is>
          <t>A12</t>
        </is>
      </c>
      <c r="K41" s="5" t="inlineStr">
        <is>
          <t>Not run</t>
        </is>
      </c>
      <c r="L41" s="6" t="inlineStr"/>
      <c r="M41" s="5" t="inlineStr"/>
      <c r="N41" s="4" t="inlineStr"/>
      <c r="O41" s="4" t="inlineStr"/>
      <c r="P41" s="4" t="inlineStr"/>
      <c r="Q41" s="6" t="inlineStr"/>
      <c r="R41" s="4" t="inlineStr"/>
      <c r="S41" s="4" t="inlineStr"/>
      <c r="T41" s="4" t="inlineStr"/>
      <c r="U41" s="5" t="inlineStr"/>
      <c r="V41" s="6" t="inlineStr"/>
    </row>
    <row r="42" ht="40" customHeight="1">
      <c r="A42" s="7" t="inlineStr">
        <is>
          <t>1C-38</t>
        </is>
      </c>
      <c r="B42" s="8" t="inlineStr">
        <is>
          <t>Phase 1C</t>
        </is>
      </c>
      <c r="C42" s="8" t="inlineStr">
        <is>
          <t>Phase 1C</t>
        </is>
      </c>
      <c r="D42" s="7" t="inlineStr">
        <is>
          <t>Required work</t>
        </is>
      </c>
      <c r="E42" s="8" t="inlineStr">
        <is>
          <t>P1</t>
        </is>
      </c>
      <c r="F42" s="8" t="inlineStr">
        <is>
          <t>Manual</t>
        </is>
      </c>
      <c r="G42" s="9" t="inlineStr">
        <is>
          <t>A blocked quote-lifecycle action.</t>
        </is>
      </c>
      <c r="H42" s="9" t="inlineStr">
        <is>
          <t>Clear the list.</t>
        </is>
      </c>
      <c r="I42" s="9" t="inlineStr">
        <is>
          <t>The exact original operation resumes, not a generic fallback.</t>
        </is>
      </c>
      <c r="J42" s="9" t="inlineStr">
        <is>
          <t>FR-19</t>
        </is>
      </c>
      <c r="K42" s="8" t="inlineStr">
        <is>
          <t>Not run</t>
        </is>
      </c>
      <c r="L42" s="9" t="inlineStr"/>
      <c r="M42" s="8" t="inlineStr"/>
      <c r="N42" s="7" t="inlineStr"/>
      <c r="O42" s="7" t="inlineStr"/>
      <c r="P42" s="7" t="inlineStr"/>
      <c r="Q42" s="9" t="inlineStr"/>
      <c r="R42" s="7" t="inlineStr"/>
      <c r="S42" s="7" t="inlineStr"/>
      <c r="T42" s="7" t="inlineStr"/>
      <c r="U42" s="8" t="inlineStr"/>
      <c r="V42" s="9" t="inlineStr"/>
    </row>
    <row r="43" ht="40" customHeight="1">
      <c r="A43" s="4" t="inlineStr">
        <is>
          <t>1C-39</t>
        </is>
      </c>
      <c r="B43" s="5" t="inlineStr">
        <is>
          <t>Phase 1C</t>
        </is>
      </c>
      <c r="C43" s="5" t="inlineStr">
        <is>
          <t>Phase 1C</t>
        </is>
      </c>
      <c r="D43" s="4" t="inlineStr">
        <is>
          <t>Handoff</t>
        </is>
      </c>
      <c r="E43" s="5" t="inlineStr">
        <is>
          <t>P2</t>
        </is>
      </c>
      <c r="F43" s="5" t="inlineStr">
        <is>
          <t>Manual</t>
        </is>
      </c>
      <c r="G43" s="6" t="inlineStr">
        <is>
          <t>Phase 1C shipped.</t>
        </is>
      </c>
      <c r="H43" s="6" t="inlineStr">
        <is>
          <t>Open a recipe as an editable copy.</t>
        </is>
      </c>
      <c r="I43" s="6" t="inlineStr">
        <is>
          <t>The live recipe keeps running; the copy is independent and the move is stated as one-way.</t>
        </is>
      </c>
      <c r="J43" s="6" t="inlineStr">
        <is>
          <t>FR-04</t>
        </is>
      </c>
      <c r="K43" s="5" t="inlineStr">
        <is>
          <t>Not run</t>
        </is>
      </c>
      <c r="L43" s="6" t="inlineStr"/>
      <c r="M43" s="5" t="inlineStr"/>
      <c r="N43" s="4" t="inlineStr"/>
      <c r="O43" s="4" t="inlineStr"/>
      <c r="P43" s="4" t="inlineStr"/>
      <c r="Q43" s="6" t="inlineStr"/>
      <c r="R43" s="4" t="inlineStr"/>
      <c r="S43" s="4" t="inlineStr"/>
      <c r="T43" s="4" t="inlineStr"/>
      <c r="U43" s="5" t="inlineStr"/>
      <c r="V43" s="6" t="inlineStr"/>
    </row>
  </sheetData>
  <autoFilter ref="A4:V43"/>
  <conditionalFormatting sqref="K5:K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43" showDropDown="0" showInputMessage="0" showErrorMessage="0" allowBlank="0" type="list">
      <formula1>"Not run,Pass,Fail,Blocked,N/A"</formula1>
    </dataValidation>
    <dataValidation sqref="E5:E43" showDropDown="0" showInputMessage="0" showErrorMessage="0" allowBlank="0" type="list">
      <formula1>"P1,P2,P3"</formula1>
    </dataValidation>
    <dataValidation sqref="F5:F43" showDropDown="0" showInputMessage="0" showErrorMessage="0" allowBlank="0" type="list">
      <formula1>"Manual,Automated,Both"</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10"/>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Regression</t>
        </is>
      </c>
    </row>
    <row r="2">
      <c r="A2" s="2" t="inlineStr">
        <is>
          <t>The six rules that must not drift. Each states the earliest release it applies from.</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REG-01</t>
        </is>
      </c>
      <c r="B5" s="5" t="inlineStr">
        <is>
          <t>Regression</t>
        </is>
      </c>
      <c r="C5" s="5" t="inlineStr">
        <is>
          <t>Phase 1A</t>
        </is>
      </c>
      <c r="D5" s="4" t="inlineStr">
        <is>
          <t>Locked rule 1</t>
        </is>
      </c>
      <c r="E5" s="5" t="inlineStr">
        <is>
          <t>P1</t>
        </is>
      </c>
      <c r="F5" s="5" t="inlineStr">
        <is>
          <t>Automated</t>
        </is>
      </c>
      <c r="G5" s="6" t="inlineStr">
        <is>
          <t>Any release.</t>
        </is>
      </c>
      <c r="H5" s="6" t="inlineStr">
        <is>
          <t>Create the first related quote on a Qualified Deal.</t>
        </is>
      </c>
      <c r="I5" s="6" t="inlineStr">
        <is>
          <t>The Deal moves to In Progress.</t>
        </is>
      </c>
      <c r="J5" s="6" t="inlineStr">
        <is>
          <t>Locked rule 1</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REG-02</t>
        </is>
      </c>
      <c r="B6" s="8" t="inlineStr">
        <is>
          <t>Regression</t>
        </is>
      </c>
      <c r="C6" s="8" t="inlineStr">
        <is>
          <t>Phase 1A</t>
        </is>
      </c>
      <c r="D6" s="7" t="inlineStr">
        <is>
          <t>Locked rule 2</t>
        </is>
      </c>
      <c r="E6" s="8" t="inlineStr">
        <is>
          <t>P1</t>
        </is>
      </c>
      <c r="F6" s="8" t="inlineStr">
        <is>
          <t>Automated</t>
        </is>
      </c>
      <c r="G6" s="9" t="inlineStr">
        <is>
          <t>Any release.</t>
        </is>
      </c>
      <c r="H6" s="9" t="inlineStr">
        <is>
          <t>Accept any one relevant quote.</t>
        </is>
      </c>
      <c r="I6" s="9" t="inlineStr">
        <is>
          <t>The Deal becomes Won. Remaining groups change value only.</t>
        </is>
      </c>
      <c r="J6" s="9" t="inlineStr">
        <is>
          <t>Locked rule 2</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REG-03</t>
        </is>
      </c>
      <c r="B7" s="5" t="inlineStr">
        <is>
          <t>Regression</t>
        </is>
      </c>
      <c r="C7" s="5" t="inlineStr">
        <is>
          <t>Phase 1A</t>
        </is>
      </c>
      <c r="D7" s="4" t="inlineStr">
        <is>
          <t>Locked rule 3</t>
        </is>
      </c>
      <c r="E7" s="5" t="inlineStr">
        <is>
          <t>P1</t>
        </is>
      </c>
      <c r="F7" s="5" t="inlineStr">
        <is>
          <t>Automated</t>
        </is>
      </c>
      <c r="G7" s="6" t="inlineStr">
        <is>
          <t>Any release.</t>
        </is>
      </c>
      <c r="H7" s="6" t="inlineStr">
        <is>
          <t>Reach a state where no viable quote remains.</t>
        </is>
      </c>
      <c r="I7" s="6" t="inlineStr">
        <is>
          <t>Lost is derived. Sales supplies the reason and cannot change the outcome.</t>
        </is>
      </c>
      <c r="J7" s="6" t="inlineStr">
        <is>
          <t>Locked rule 3</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REG-04</t>
        </is>
      </c>
      <c r="B8" s="8" t="inlineStr">
        <is>
          <t>Regression</t>
        </is>
      </c>
      <c r="C8" s="8" t="inlineStr">
        <is>
          <t>Phase 1C</t>
        </is>
      </c>
      <c r="D8" s="7" t="inlineStr">
        <is>
          <t>Locked rule 4</t>
        </is>
      </c>
      <c r="E8" s="8" t="inlineStr">
        <is>
          <t>P1</t>
        </is>
      </c>
      <c r="F8" s="8" t="inlineStr">
        <is>
          <t>Manual</t>
        </is>
      </c>
      <c r="G8" s="9" t="inlineStr">
        <is>
          <t>Authoring exists.</t>
        </is>
      </c>
      <c r="H8" s="9" t="inlineStr">
        <is>
          <t>Publish a valid change without testing.</t>
        </is>
      </c>
      <c r="I8" s="9" t="inlineStr">
        <is>
          <t>Allowed. Only a real conflict blocks publishing.</t>
        </is>
      </c>
      <c r="J8" s="9" t="inlineStr">
        <is>
          <t>Locked rule 4</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REG-05</t>
        </is>
      </c>
      <c r="B9" s="5" t="inlineStr">
        <is>
          <t>Regression</t>
        </is>
      </c>
      <c r="C9" s="5" t="inlineStr">
        <is>
          <t>Phase 2</t>
        </is>
      </c>
      <c r="D9" s="4" t="inlineStr">
        <is>
          <t>Locked rule 5</t>
        </is>
      </c>
      <c r="E9" s="5" t="inlineStr">
        <is>
          <t>P1</t>
        </is>
      </c>
      <c r="F9" s="5" t="inlineStr">
        <is>
          <t>Manual</t>
        </is>
      </c>
      <c r="G9" s="6" t="inlineStr">
        <is>
          <t>Custom stages exist.</t>
        </is>
      </c>
      <c r="H9" s="6" t="inlineStr">
        <is>
          <t>Place the same custom stage in different lifecycle gaps.</t>
        </is>
      </c>
      <c r="I9" s="6" t="inlineStr">
        <is>
          <t>The core block library offered is identical every time.</t>
        </is>
      </c>
      <c r="J9" s="6" t="inlineStr">
        <is>
          <t>Locked rule 5</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REG-06</t>
        </is>
      </c>
      <c r="B10" s="8" t="inlineStr">
        <is>
          <t>Regression</t>
        </is>
      </c>
      <c r="C10" s="8" t="inlineStr">
        <is>
          <t>Phase 1A</t>
        </is>
      </c>
      <c r="D10" s="7" t="inlineStr">
        <is>
          <t>Locked rule 6</t>
        </is>
      </c>
      <c r="E10" s="8" t="inlineStr">
        <is>
          <t>P1</t>
        </is>
      </c>
      <c r="F10" s="8" t="inlineStr">
        <is>
          <t>Automated</t>
        </is>
      </c>
      <c r="G10" s="9" t="inlineStr">
        <is>
          <t>Any release.</t>
        </is>
      </c>
      <c r="H10" s="9" t="inlineStr">
        <is>
          <t>Search the action catalogue for approve, send, accept, Won or Lost.</t>
        </is>
      </c>
      <c r="I10" s="9" t="inlineStr">
        <is>
          <t>None exists as an action.</t>
        </is>
      </c>
      <c r="J10" s="9" t="inlineStr">
        <is>
          <t>Locked rule 6</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sheetData>
  <autoFilter ref="A4:V10"/>
  <conditionalFormatting sqref="K5:K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10" showDropDown="0" showInputMessage="0" showErrorMessage="0" allowBlank="0" type="list">
      <formula1>"Not run,Pass,Fail,Blocked,N/A"</formula1>
    </dataValidation>
    <dataValidation sqref="E5:E10" showDropDown="0" showInputMessage="0" showErrorMessage="0" allowBlank="0" type="list">
      <formula1>"P1,P2,P3"</formula1>
    </dataValidation>
    <dataValidation sqref="F5:F10" showDropDown="0" showInputMessage="0" showErrorMessage="0" allowBlank="0" type="list">
      <formula1>"Manual,Automated,Both"</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V2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2" customWidth="1" min="3" max="3"/>
    <col width="34"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Non-functional</t>
        </is>
      </c>
    </row>
    <row r="2">
      <c r="A2" s="2" t="inlineStr">
        <is>
          <t>Concurrency, event ordering, partial failure, performance, permissions, accessibility, browsers, audit and recovery. Applies from names the release each case gates — the Summary counts it there.</t>
        </is>
      </c>
    </row>
    <row r="3">
      <c r="A3" s="2" t="inlineStr">
        <is>
          <t>Fill in from Status onwards.</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NF-01</t>
        </is>
      </c>
      <c r="B5" s="5" t="inlineStr">
        <is>
          <t>All</t>
        </is>
      </c>
      <c r="C5" s="5" t="inlineStr">
        <is>
          <t>Phase 1C</t>
        </is>
      </c>
      <c r="D5" s="4" t="inlineStr">
        <is>
          <t>Concurrency</t>
        </is>
      </c>
      <c r="E5" s="5" t="inlineStr">
        <is>
          <t>P1</t>
        </is>
      </c>
      <c r="F5" s="5" t="inlineStr">
        <is>
          <t>Manual</t>
        </is>
      </c>
      <c r="G5" s="6" t="inlineStr">
        <is>
          <t>Two users editing the same Automation.</t>
        </is>
      </c>
      <c r="H5" s="6" t="inlineStr">
        <is>
          <t>Both save a draft, then both publish within seconds of each other.</t>
        </is>
      </c>
      <c r="I5" s="6" t="inlineStr">
        <is>
          <t>One publish succeeds; the second is refused with a message that the version moved on, and offers to reload. No silent overwrite, and the published version matches one editor's intent exactly.</t>
        </is>
      </c>
      <c r="J5" s="6" t="inlineStr">
        <is>
          <t>FR-14</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NF-02</t>
        </is>
      </c>
      <c r="B6" s="8" t="inlineStr">
        <is>
          <t>All</t>
        </is>
      </c>
      <c r="C6" s="8" t="inlineStr">
        <is>
          <t>Phase 1A</t>
        </is>
      </c>
      <c r="D6" s="7" t="inlineStr">
        <is>
          <t>Concurrency</t>
        </is>
      </c>
      <c r="E6" s="8" t="inlineStr">
        <is>
          <t>P1</t>
        </is>
      </c>
      <c r="F6" s="8" t="inlineStr">
        <is>
          <t>Manual</t>
        </is>
      </c>
      <c r="G6" s="9" t="inlineStr">
        <is>
          <t>Two users on the same Deal.</t>
        </is>
      </c>
      <c r="H6" s="9" t="inlineStr">
        <is>
          <t>Both accept a different quote in the same alternative group at the same time.</t>
        </is>
      </c>
      <c r="I6" s="9" t="inlineStr">
        <is>
          <t>Exactly one acceptance wins. The other is refused with a clear reason, and the Deal has one winner, not two.</t>
        </is>
      </c>
      <c r="J6" s="9" t="inlineStr">
        <is>
          <t>AC-DEAL-07</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NF-03</t>
        </is>
      </c>
      <c r="B7" s="5" t="inlineStr">
        <is>
          <t>All</t>
        </is>
      </c>
      <c r="C7" s="5" t="inlineStr">
        <is>
          <t>Phase 1A</t>
        </is>
      </c>
      <c r="D7" s="4" t="inlineStr">
        <is>
          <t>Events arrive in a different order</t>
        </is>
      </c>
      <c r="E7" s="5" t="inlineStr">
        <is>
          <t>P1</t>
        </is>
      </c>
      <c r="F7" s="5" t="inlineStr">
        <is>
          <t>Automated</t>
        </is>
      </c>
      <c r="G7" s="6" t="inlineStr">
        <is>
          <t>A Deal with one quote.</t>
        </is>
      </c>
      <c r="H7" s="6" t="inlineStr">
        <is>
          <t>Deliver the quote-sent and quote-accepted events out of order.</t>
        </is>
      </c>
      <c r="I7" s="6" t="inlineStr">
        <is>
          <t>The Deal ends in the correct final stage regardless of arrival order, and history records the true sequence of quote events.</t>
        </is>
      </c>
      <c r="J7" s="6" t="inlineStr">
        <is>
          <t>FR-16</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NF-04</t>
        </is>
      </c>
      <c r="B8" s="8" t="inlineStr">
        <is>
          <t>All</t>
        </is>
      </c>
      <c r="C8" s="8" t="inlineStr">
        <is>
          <t>Phase 1B</t>
        </is>
      </c>
      <c r="D8" s="7" t="inlineStr">
        <is>
          <t>Events arrive in a different order</t>
        </is>
      </c>
      <c r="E8" s="8" t="inlineStr">
        <is>
          <t>P1</t>
        </is>
      </c>
      <c r="F8" s="8" t="inlineStr">
        <is>
          <t>Automated</t>
        </is>
      </c>
      <c r="G8" s="9" t="inlineStr">
        <is>
          <t>A recipe listening to a quote event.</t>
        </is>
      </c>
      <c r="H8" s="9" t="inlineStr">
        <is>
          <t>Deliver the same event twice, ten minutes apart.</t>
        </is>
      </c>
      <c r="I8" s="9" t="inlineStr">
        <is>
          <t>The second delivery is recognised as already handled. Nothing is created twice.</t>
        </is>
      </c>
      <c r="J8" s="9" t="inlineStr">
        <is>
          <t>FR-21</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NF-05</t>
        </is>
      </c>
      <c r="B9" s="5" t="inlineStr">
        <is>
          <t>All</t>
        </is>
      </c>
      <c r="C9" s="5" t="inlineStr">
        <is>
          <t>Phase 1B</t>
        </is>
      </c>
      <c r="D9" s="4" t="inlineStr">
        <is>
          <t>Events arrive in a different order</t>
        </is>
      </c>
      <c r="E9" s="5" t="inlineStr">
        <is>
          <t>P2</t>
        </is>
      </c>
      <c r="F9" s="5" t="inlineStr">
        <is>
          <t>Automated</t>
        </is>
      </c>
      <c r="G9" s="6" t="inlineStr">
        <is>
          <t>An event delayed by an hour in the queue.</t>
        </is>
      </c>
      <c r="H9" s="6" t="inlineStr">
        <is>
          <t>Let it arrive late.</t>
        </is>
      </c>
      <c r="I9" s="6" t="inlineStr">
        <is>
          <t>It is processed against the Deal's state at the time of processing, and the delay is visible in the run record.</t>
        </is>
      </c>
      <c r="J9" s="6" t="inlineStr">
        <is>
          <t>FR-36</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NF-06</t>
        </is>
      </c>
      <c r="B10" s="8" t="inlineStr">
        <is>
          <t>All</t>
        </is>
      </c>
      <c r="C10" s="8" t="inlineStr">
        <is>
          <t>Phase 1B</t>
        </is>
      </c>
      <c r="D10" s="7" t="inlineStr">
        <is>
          <t>One action fails during a run</t>
        </is>
      </c>
      <c r="E10" s="8" t="inlineStr">
        <is>
          <t>P1</t>
        </is>
      </c>
      <c r="F10" s="8" t="inlineStr">
        <is>
          <t>Manual</t>
        </is>
      </c>
      <c r="G10" s="9" t="inlineStr">
        <is>
          <t>A recipe with three actions; the second one fails.</t>
        </is>
      </c>
      <c r="H10" s="9" t="inlineStr">
        <is>
          <t>Trigger it.</t>
        </is>
      </c>
      <c r="I10" s="9" t="inlineStr">
        <is>
          <t>The failure is recorded against the run with the step named. Completed actions are not rolled back silently, and a retry does not repeat the ones that already succeeded.</t>
        </is>
      </c>
      <c r="J10" s="9" t="inlineStr">
        <is>
          <t>FR-21</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NF-07</t>
        </is>
      </c>
      <c r="B11" s="5" t="inlineStr">
        <is>
          <t>All</t>
        </is>
      </c>
      <c r="C11" s="5" t="inlineStr">
        <is>
          <t>Phase 1B</t>
        </is>
      </c>
      <c r="D11" s="4" t="inlineStr">
        <is>
          <t>One action fails during a run</t>
        </is>
      </c>
      <c r="E11" s="5" t="inlineStr">
        <is>
          <t>P1</t>
        </is>
      </c>
      <c r="F11" s="5" t="inlineStr">
        <is>
          <t>Manual</t>
        </is>
      </c>
      <c r="G11" s="6" t="inlineStr">
        <is>
          <t>A recipe that failed.</t>
        </is>
      </c>
      <c r="H11" s="6" t="inlineStr">
        <is>
          <t>Open the run history.</t>
        </is>
      </c>
      <c r="I11" s="6" t="inlineStr">
        <is>
          <t>The failure, its reason, its timestamp and the affected step are all visible without needing server logs.</t>
        </is>
      </c>
      <c r="J11" s="6" t="inlineStr">
        <is>
          <t>FR-21</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NF-08</t>
        </is>
      </c>
      <c r="B12" s="8" t="inlineStr">
        <is>
          <t>All</t>
        </is>
      </c>
      <c r="C12" s="8" t="inlineStr">
        <is>
          <t>Phase 1A</t>
        </is>
      </c>
      <c r="D12" s="7" t="inlineStr">
        <is>
          <t>Performance</t>
        </is>
      </c>
      <c r="E12" s="8" t="inlineStr">
        <is>
          <t>P2</t>
        </is>
      </c>
      <c r="F12" s="8" t="inlineStr">
        <is>
          <t>Manual</t>
        </is>
      </c>
      <c r="G12" s="9" t="inlineStr">
        <is>
          <t>An organisation with several thousand Deals and quotes.</t>
        </is>
      </c>
      <c r="H12" s="9" t="inlineStr">
        <is>
          <t>Open the pipeline board and the Deal list.</t>
        </is>
      </c>
      <c r="I12" s="9" t="inlineStr">
        <is>
          <t>Both render within an acceptable time and the stage counts are correct. Note the measured time in Actual result.</t>
        </is>
      </c>
      <c r="J12" s="9" t="inlineStr">
        <is>
          <t>—</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NF-09</t>
        </is>
      </c>
      <c r="B13" s="5" t="inlineStr">
        <is>
          <t>All</t>
        </is>
      </c>
      <c r="C13" s="5" t="inlineStr">
        <is>
          <t>Phase 1A</t>
        </is>
      </c>
      <c r="D13" s="4" t="inlineStr">
        <is>
          <t>Performance</t>
        </is>
      </c>
      <c r="E13" s="5" t="inlineStr">
        <is>
          <t>P2</t>
        </is>
      </c>
      <c r="F13" s="5" t="inlineStr">
        <is>
          <t>Manual</t>
        </is>
      </c>
      <c r="G13" s="6" t="inlineStr">
        <is>
          <t>A Deal carrying a long activity history.</t>
        </is>
      </c>
      <c r="H13" s="6" t="inlineStr">
        <is>
          <t>Open the Deal.</t>
        </is>
      </c>
      <c r="I13" s="6" t="inlineStr">
        <is>
          <t>The page opens without freezing and the timeline pages or scrolls rather than loading everything at once.</t>
        </is>
      </c>
      <c r="J13" s="6" t="inlineStr">
        <is>
          <t>—</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NF-10</t>
        </is>
      </c>
      <c r="B14" s="8" t="inlineStr">
        <is>
          <t>All</t>
        </is>
      </c>
      <c r="C14" s="8" t="inlineStr">
        <is>
          <t>Phase 1A</t>
        </is>
      </c>
      <c r="D14" s="7" t="inlineStr">
        <is>
          <t>Permissions</t>
        </is>
      </c>
      <c r="E14" s="8" t="inlineStr">
        <is>
          <t>P1</t>
        </is>
      </c>
      <c r="F14" s="8" t="inlineStr">
        <is>
          <t>Manual</t>
        </is>
      </c>
      <c r="G14" s="9" t="inlineStr">
        <is>
          <t>Roles with and without CRM access.</t>
        </is>
      </c>
      <c r="H14" s="9" t="inlineStr">
        <is>
          <t>Sign in as each role and attempt to view and edit Leads, Deals and Automations.</t>
        </is>
      </c>
      <c r="I14" s="9" t="inlineStr">
        <is>
          <t>Each role sees and can change only what its permissions allow. A role without access gets a clear refusal, not an empty screen.</t>
        </is>
      </c>
      <c r="J14" s="9" t="inlineStr">
        <is>
          <t>FR-38</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NF-11</t>
        </is>
      </c>
      <c r="B15" s="5" t="inlineStr">
        <is>
          <t>All</t>
        </is>
      </c>
      <c r="C15" s="5" t="inlineStr">
        <is>
          <t>Phase 1A</t>
        </is>
      </c>
      <c r="D15" s="4" t="inlineStr">
        <is>
          <t>Permissions</t>
        </is>
      </c>
      <c r="E15" s="5" t="inlineStr">
        <is>
          <t>P1</t>
        </is>
      </c>
      <c r="F15" s="5" t="inlineStr">
        <is>
          <t>Manual</t>
        </is>
      </c>
      <c r="G15" s="6" t="inlineStr">
        <is>
          <t>A user limited to one company.</t>
        </is>
      </c>
      <c r="H15" s="6" t="inlineStr">
        <is>
          <t>Attempt to open a Deal from another company by direct URL.</t>
        </is>
      </c>
      <c r="I15" s="6" t="inlineStr">
        <is>
          <t>Refused. The record is not rendered and nothing about it leaks in the error.</t>
        </is>
      </c>
      <c r="J15" s="6" t="inlineStr">
        <is>
          <t>FR-38</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NF-12</t>
        </is>
      </c>
      <c r="B16" s="8" t="inlineStr">
        <is>
          <t>All</t>
        </is>
      </c>
      <c r="C16" s="8" t="inlineStr">
        <is>
          <t>Phase 1C</t>
        </is>
      </c>
      <c r="D16" s="7" t="inlineStr">
        <is>
          <t>Accessibility</t>
        </is>
      </c>
      <c r="E16" s="8" t="inlineStr">
        <is>
          <t>P2</t>
        </is>
      </c>
      <c r="F16" s="8" t="inlineStr">
        <is>
          <t>Manual</t>
        </is>
      </c>
      <c r="G16" s="9" t="inlineStr">
        <is>
          <t>The required-work dialog open.</t>
        </is>
      </c>
      <c r="H16" s="9" t="inlineStr">
        <is>
          <t>Navigate it with the keyboard only.</t>
        </is>
      </c>
      <c r="I16" s="9" t="inlineStr">
        <is>
          <t>Focus moves into the dialog, stays trapped inside it, every control is reachable, and Escape closes it returning focus to the trigger.</t>
        </is>
      </c>
      <c r="J16" s="9" t="inlineStr">
        <is>
          <t>—</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NF-13</t>
        </is>
      </c>
      <c r="B17" s="5" t="inlineStr">
        <is>
          <t>All</t>
        </is>
      </c>
      <c r="C17" s="5" t="inlineStr">
        <is>
          <t>Phase 1C</t>
        </is>
      </c>
      <c r="D17" s="4" t="inlineStr">
        <is>
          <t>Accessibility</t>
        </is>
      </c>
      <c r="E17" s="5" t="inlineStr">
        <is>
          <t>P2</t>
        </is>
      </c>
      <c r="F17" s="5" t="inlineStr">
        <is>
          <t>Manual</t>
        </is>
      </c>
      <c r="G17" s="6" t="inlineStr">
        <is>
          <t>The builder open.</t>
        </is>
      </c>
      <c r="H17" s="6" t="inlineStr">
        <is>
          <t>Tab through the whole editing flow.</t>
        </is>
      </c>
      <c r="I17" s="6" t="inlineStr">
        <is>
          <t>Every interactive element is reachable and has a visible focus state.</t>
        </is>
      </c>
      <c r="J17" s="6" t="inlineStr">
        <is>
          <t>—</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NF-14</t>
        </is>
      </c>
      <c r="B18" s="8" t="inlineStr">
        <is>
          <t>All</t>
        </is>
      </c>
      <c r="C18" s="8" t="inlineStr">
        <is>
          <t>Phase 1A</t>
        </is>
      </c>
      <c r="D18" s="7" t="inlineStr">
        <is>
          <t>Browsers</t>
        </is>
      </c>
      <c r="E18" s="8" t="inlineStr">
        <is>
          <t>P2</t>
        </is>
      </c>
      <c r="F18" s="8" t="inlineStr">
        <is>
          <t>Manual</t>
        </is>
      </c>
      <c r="G18" s="9" t="inlineStr">
        <is>
          <t>Supported browser matrix agreed.</t>
        </is>
      </c>
      <c r="H18" s="9" t="inlineStr">
        <is>
          <t>Run the Phase 1A smoke set on each supported browser and viewport.</t>
        </is>
      </c>
      <c r="I18" s="9" t="inlineStr">
        <is>
          <t>Behaviour and layout are consistent. Record browser and version against each run.</t>
        </is>
      </c>
      <c r="J18" s="9" t="inlineStr">
        <is>
          <t>—</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NF-15</t>
        </is>
      </c>
      <c r="B19" s="5" t="inlineStr">
        <is>
          <t>All</t>
        </is>
      </c>
      <c r="C19" s="5" t="inlineStr">
        <is>
          <t>Phase 1A</t>
        </is>
      </c>
      <c r="D19" s="4" t="inlineStr">
        <is>
          <t>Audit</t>
        </is>
      </c>
      <c r="E19" s="5" t="inlineStr">
        <is>
          <t>P1</t>
        </is>
      </c>
      <c r="F19" s="5" t="inlineStr">
        <is>
          <t>Manual</t>
        </is>
      </c>
      <c r="G19" s="6" t="inlineStr">
        <is>
          <t>A Deal with a full history.</t>
        </is>
      </c>
      <c r="H19" s="6" t="inlineStr">
        <is>
          <t>Export or review the audit trail.</t>
        </is>
      </c>
      <c r="I19" s="6" t="inlineStr">
        <is>
          <t>Every stage change, value change and Automation result is present with actor and timestamp. Nothing is missing or reordered.</t>
        </is>
      </c>
      <c r="J19" s="6" t="inlineStr">
        <is>
          <t>FR-39</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NF-16</t>
        </is>
      </c>
      <c r="B20" s="8" t="inlineStr">
        <is>
          <t>All</t>
        </is>
      </c>
      <c r="C20" s="8" t="inlineStr">
        <is>
          <t>Phase 1C</t>
        </is>
      </c>
      <c r="D20" s="7" t="inlineStr">
        <is>
          <t>Recovery</t>
        </is>
      </c>
      <c r="E20" s="8" t="inlineStr">
        <is>
          <t>P1</t>
        </is>
      </c>
      <c r="F20" s="8" t="inlineStr">
        <is>
          <t>Manual</t>
        </is>
      </c>
      <c r="G20" s="9" t="inlineStr">
        <is>
          <t>Drafts saved and timed work pending.</t>
        </is>
      </c>
      <c r="H20" s="9" t="inlineStr">
        <is>
          <t>Restart the server.</t>
        </is>
      </c>
      <c r="I20" s="9" t="inlineStr">
        <is>
          <t>Drafts, pending runs and published versions all survive. Pending work resumes on the version it started with.</t>
        </is>
      </c>
      <c r="J20" s="9" t="inlineStr">
        <is>
          <t>FR-40</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sheetData>
  <autoFilter ref="A4:V20"/>
  <conditionalFormatting sqref="K5:K20">
    <cfRule type="cellIs" priority="1" operator="equal" dxfId="0">
      <formula>"Pass"</formula>
    </cfRule>
    <cfRule type="cellIs" priority="2" operator="equal" dxfId="5">
      <formula>"Fail"</formula>
    </cfRule>
    <cfRule type="cellIs" priority="3" operator="equal" dxfId="7">
      <formula>"Blocked"</formula>
    </cfRule>
    <cfRule type="cellIs" priority="4" operator="equal" dxfId="3">
      <formula>"N/A"</formula>
    </cfRule>
    <cfRule type="cellIs" priority="5" operator="equal" dxfId="4">
      <formula>"Not run"</formula>
    </cfRule>
  </conditionalFormatting>
  <dataValidations count="3">
    <dataValidation sqref="K5:K20" showDropDown="0" showInputMessage="0" showErrorMessage="0" allowBlank="0" type="list">
      <formula1>"Not run,Pass,Fail,Blocked,N/A"</formula1>
    </dataValidation>
    <dataValidation sqref="E5:E20" showDropDown="0" showInputMessage="0" showErrorMessage="0" allowBlank="0" type="list">
      <formula1>"P1,P2,P3"</formula1>
    </dataValidation>
    <dataValidation sqref="F5:F20" showDropDown="0" showInputMessage="0" showErrorMessage="0" allowBlank="0" type="list">
      <formula1>"Manual,Automated,Both"</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6" customWidth="1" min="3" max="3"/>
    <col width="13" customWidth="1" min="4" max="4"/>
    <col width="16" customWidth="1" min="5" max="5"/>
    <col width="26" customWidth="1" min="6" max="6"/>
    <col width="12" customWidth="1" min="7" max="7"/>
    <col width="11" customWidth="1" min="8" max="8"/>
    <col width="11" customWidth="1" min="9" max="9"/>
    <col width="7" customWidth="1" min="10" max="10"/>
    <col width="7" customWidth="1" min="11" max="11"/>
    <col width="8" customWidth="1" min="12" max="12"/>
    <col width="6" customWidth="1" min="13" max="13"/>
    <col width="8" customWidth="1" min="14" max="14"/>
    <col width="12" customWidth="1" min="15" max="15"/>
    <col width="13" customWidth="1" min="16" max="16"/>
    <col width="30" customWidth="1" min="17" max="17"/>
  </cols>
  <sheetData>
    <row r="1">
      <c r="A1" s="1" t="inlineStr">
        <is>
          <t>Test runs</t>
        </is>
      </c>
    </row>
    <row r="2">
      <c r="A2" s="2" t="inlineStr">
        <is>
          <t>One row per execution cycle. The go / no-go decision belongs here, with who made it.</t>
        </is>
      </c>
    </row>
    <row r="4">
      <c r="A4" s="3" t="inlineStr">
        <is>
          <t>Run</t>
        </is>
      </c>
      <c r="B4" s="3" t="inlineStr">
        <is>
          <t>Release</t>
        </is>
      </c>
      <c r="C4" s="3" t="inlineStr">
        <is>
          <t>Build / commit</t>
        </is>
      </c>
      <c r="D4" s="3" t="inlineStr">
        <is>
          <t>Environment</t>
        </is>
      </c>
      <c r="E4" s="3" t="inlineStr">
        <is>
          <t>Browser / device</t>
        </is>
      </c>
      <c r="F4" s="3" t="inlineStr">
        <is>
          <t>Scope</t>
        </is>
      </c>
      <c r="G4" s="3" t="inlineStr">
        <is>
          <t>Tester</t>
        </is>
      </c>
      <c r="H4" s="3" t="inlineStr">
        <is>
          <t>Start</t>
        </is>
      </c>
      <c r="I4" s="3" t="inlineStr">
        <is>
          <t>End</t>
        </is>
      </c>
      <c r="J4" s="3" t="inlineStr">
        <is>
          <t>Pass</t>
        </is>
      </c>
      <c r="K4" s="3" t="inlineStr">
        <is>
          <t>Fail</t>
        </is>
      </c>
      <c r="L4" s="3" t="inlineStr">
        <is>
          <t>Blocked</t>
        </is>
      </c>
      <c r="M4" s="3" t="inlineStr">
        <is>
          <t>N/A</t>
        </is>
      </c>
      <c r="N4" s="3" t="inlineStr">
        <is>
          <t>Not run</t>
        </is>
      </c>
      <c r="O4" s="3" t="inlineStr">
        <is>
          <t>Go / no-go</t>
        </is>
      </c>
      <c r="P4" s="3" t="inlineStr">
        <is>
          <t>Decided by</t>
        </is>
      </c>
      <c r="Q4" s="3" t="inlineStr">
        <is>
          <t>Notes</t>
        </is>
      </c>
    </row>
    <row r="5">
      <c r="A5" s="31" t="inlineStr">
        <is>
          <t>R-01</t>
        </is>
      </c>
      <c r="B5" s="32" t="inlineStr">
        <is>
          <t>Phase 1A</t>
        </is>
      </c>
      <c r="C5" s="31" t="inlineStr">
        <is>
          <t>1A-rc3</t>
        </is>
      </c>
      <c r="D5" s="32" t="inlineStr">
        <is>
          <t>Staging</t>
        </is>
      </c>
      <c r="E5" s="31" t="inlineStr">
        <is>
          <t>Chrome 141 / macOS</t>
        </is>
      </c>
      <c r="F5" s="33" t="inlineStr">
        <is>
          <t>Full Phase 1A + applicable Regression</t>
        </is>
      </c>
      <c r="G5" s="31" t="inlineStr">
        <is>
          <t>KW</t>
        </is>
      </c>
      <c r="H5" s="32" t="inlineStr">
        <is>
          <t>2026-09-01</t>
        </is>
      </c>
      <c r="I5" s="32" t="inlineStr">
        <is>
          <t>2026-09-04</t>
        </is>
      </c>
      <c r="J5" s="32" t="n">
        <v>48</v>
      </c>
      <c r="K5" s="32" t="n">
        <v>3</v>
      </c>
      <c r="L5" s="32" t="n">
        <v>1</v>
      </c>
      <c r="M5" s="32" t="n">
        <v>2</v>
      </c>
      <c r="N5" s="32" t="n">
        <v>0</v>
      </c>
      <c r="O5" s="32" t="inlineStr">
        <is>
          <t>No-go</t>
        </is>
      </c>
      <c r="P5" s="31" t="inlineStr">
        <is>
          <t>CTO</t>
        </is>
      </c>
      <c r="Q5" s="33" t="inlineStr">
        <is>
          <t>Two S2 defects open — WQ-1183, WQ-1190</t>
        </is>
      </c>
    </row>
    <row r="6">
      <c r="A6" s="4" t="n"/>
      <c r="B6" s="5" t="n"/>
      <c r="C6" s="4" t="n"/>
      <c r="D6" s="5" t="n"/>
      <c r="E6" s="4" t="n"/>
      <c r="F6" s="6" t="n"/>
      <c r="G6" s="4" t="n"/>
      <c r="H6" s="5" t="n"/>
      <c r="I6" s="5" t="n"/>
      <c r="J6" s="5" t="n"/>
      <c r="K6" s="5" t="n"/>
      <c r="L6" s="5" t="n"/>
      <c r="M6" s="5" t="n"/>
      <c r="N6" s="5" t="n"/>
      <c r="O6" s="5" t="n"/>
      <c r="P6" s="4" t="n"/>
      <c r="Q6" s="6" t="n"/>
    </row>
    <row r="7">
      <c r="A7" s="4" t="n"/>
      <c r="B7" s="5" t="n"/>
      <c r="C7" s="4" t="n"/>
      <c r="D7" s="5" t="n"/>
      <c r="E7" s="4" t="n"/>
      <c r="F7" s="6" t="n"/>
      <c r="G7" s="4" t="n"/>
      <c r="H7" s="5" t="n"/>
      <c r="I7" s="5" t="n"/>
      <c r="J7" s="5" t="n"/>
      <c r="K7" s="5" t="n"/>
      <c r="L7" s="5" t="n"/>
      <c r="M7" s="5" t="n"/>
      <c r="N7" s="5" t="n"/>
      <c r="O7" s="5" t="n"/>
      <c r="P7" s="4" t="n"/>
      <c r="Q7" s="6" t="n"/>
    </row>
    <row r="8">
      <c r="A8" s="4" t="n"/>
      <c r="B8" s="5" t="n"/>
      <c r="C8" s="4" t="n"/>
      <c r="D8" s="5" t="n"/>
      <c r="E8" s="4" t="n"/>
      <c r="F8" s="6" t="n"/>
      <c r="G8" s="4" t="n"/>
      <c r="H8" s="5" t="n"/>
      <c r="I8" s="5" t="n"/>
      <c r="J8" s="5" t="n"/>
      <c r="K8" s="5" t="n"/>
      <c r="L8" s="5" t="n"/>
      <c r="M8" s="5" t="n"/>
      <c r="N8" s="5" t="n"/>
      <c r="O8" s="5" t="n"/>
      <c r="P8" s="4" t="n"/>
      <c r="Q8" s="6" t="n"/>
    </row>
    <row r="9">
      <c r="A9" s="4" t="n"/>
      <c r="B9" s="5" t="n"/>
      <c r="C9" s="4" t="n"/>
      <c r="D9" s="5" t="n"/>
      <c r="E9" s="4" t="n"/>
      <c r="F9" s="6" t="n"/>
      <c r="G9" s="4" t="n"/>
      <c r="H9" s="5" t="n"/>
      <c r="I9" s="5" t="n"/>
      <c r="J9" s="5" t="n"/>
      <c r="K9" s="5" t="n"/>
      <c r="L9" s="5" t="n"/>
      <c r="M9" s="5" t="n"/>
      <c r="N9" s="5" t="n"/>
      <c r="O9" s="5" t="n"/>
      <c r="P9" s="4" t="n"/>
      <c r="Q9" s="6" t="n"/>
    </row>
    <row r="10">
      <c r="A10" s="4" t="n"/>
      <c r="B10" s="5" t="n"/>
      <c r="C10" s="4" t="n"/>
      <c r="D10" s="5" t="n"/>
      <c r="E10" s="4" t="n"/>
      <c r="F10" s="6" t="n"/>
      <c r="G10" s="4" t="n"/>
      <c r="H10" s="5" t="n"/>
      <c r="I10" s="5" t="n"/>
      <c r="J10" s="5" t="n"/>
      <c r="K10" s="5" t="n"/>
      <c r="L10" s="5" t="n"/>
      <c r="M10" s="5" t="n"/>
      <c r="N10" s="5" t="n"/>
      <c r="O10" s="5" t="n"/>
      <c r="P10" s="4" t="n"/>
      <c r="Q10" s="6" t="n"/>
    </row>
    <row r="11">
      <c r="A11" s="4" t="n"/>
      <c r="B11" s="5" t="n"/>
      <c r="C11" s="4" t="n"/>
      <c r="D11" s="5" t="n"/>
      <c r="E11" s="4" t="n"/>
      <c r="F11" s="6" t="n"/>
      <c r="G11" s="4" t="n"/>
      <c r="H11" s="5" t="n"/>
      <c r="I11" s="5" t="n"/>
      <c r="J11" s="5" t="n"/>
      <c r="K11" s="5" t="n"/>
      <c r="L11" s="5" t="n"/>
      <c r="M11" s="5" t="n"/>
      <c r="N11" s="5" t="n"/>
      <c r="O11" s="5" t="n"/>
      <c r="P11" s="4" t="n"/>
      <c r="Q11" s="6" t="n"/>
    </row>
    <row r="12">
      <c r="A12" s="4" t="n"/>
      <c r="B12" s="5" t="n"/>
      <c r="C12" s="4" t="n"/>
      <c r="D12" s="5" t="n"/>
      <c r="E12" s="4" t="n"/>
      <c r="F12" s="6" t="n"/>
      <c r="G12" s="4" t="n"/>
      <c r="H12" s="5" t="n"/>
      <c r="I12" s="5" t="n"/>
      <c r="J12" s="5" t="n"/>
      <c r="K12" s="5" t="n"/>
      <c r="L12" s="5" t="n"/>
      <c r="M12" s="5" t="n"/>
      <c r="N12" s="5" t="n"/>
      <c r="O12" s="5" t="n"/>
      <c r="P12" s="4" t="n"/>
      <c r="Q12" s="6" t="n"/>
    </row>
    <row r="13">
      <c r="A13" s="4" t="n"/>
      <c r="B13" s="5" t="n"/>
      <c r="C13" s="4" t="n"/>
      <c r="D13" s="5" t="n"/>
      <c r="E13" s="4" t="n"/>
      <c r="F13" s="6" t="n"/>
      <c r="G13" s="4" t="n"/>
      <c r="H13" s="5" t="n"/>
      <c r="I13" s="5" t="n"/>
      <c r="J13" s="5" t="n"/>
      <c r="K13" s="5" t="n"/>
      <c r="L13" s="5" t="n"/>
      <c r="M13" s="5" t="n"/>
      <c r="N13" s="5" t="n"/>
      <c r="O13" s="5" t="n"/>
      <c r="P13" s="4" t="n"/>
      <c r="Q13" s="6" t="n"/>
    </row>
    <row r="14">
      <c r="A14" s="4" t="n"/>
      <c r="B14" s="5" t="n"/>
      <c r="C14" s="4" t="n"/>
      <c r="D14" s="5" t="n"/>
      <c r="E14" s="4" t="n"/>
      <c r="F14" s="6" t="n"/>
      <c r="G14" s="4" t="n"/>
      <c r="H14" s="5" t="n"/>
      <c r="I14" s="5" t="n"/>
      <c r="J14" s="5" t="n"/>
      <c r="K14" s="5" t="n"/>
      <c r="L14" s="5" t="n"/>
      <c r="M14" s="5" t="n"/>
      <c r="N14" s="5" t="n"/>
      <c r="O14" s="5" t="n"/>
      <c r="P14" s="4" t="n"/>
      <c r="Q14" s="6" t="n"/>
    </row>
    <row r="15">
      <c r="A15" s="4" t="n"/>
      <c r="B15" s="5" t="n"/>
      <c r="C15" s="4" t="n"/>
      <c r="D15" s="5" t="n"/>
      <c r="E15" s="4" t="n"/>
      <c r="F15" s="6" t="n"/>
      <c r="G15" s="4" t="n"/>
      <c r="H15" s="5" t="n"/>
      <c r="I15" s="5" t="n"/>
      <c r="J15" s="5" t="n"/>
      <c r="K15" s="5" t="n"/>
      <c r="L15" s="5" t="n"/>
      <c r="M15" s="5" t="n"/>
      <c r="N15" s="5" t="n"/>
      <c r="O15" s="5" t="n"/>
      <c r="P15" s="4" t="n"/>
      <c r="Q15" s="6" t="n"/>
    </row>
    <row r="16">
      <c r="A16" s="4" t="n"/>
      <c r="B16" s="5" t="n"/>
      <c r="C16" s="4" t="n"/>
      <c r="D16" s="5" t="n"/>
      <c r="E16" s="4" t="n"/>
      <c r="F16" s="6" t="n"/>
      <c r="G16" s="4" t="n"/>
      <c r="H16" s="5" t="n"/>
      <c r="I16" s="5" t="n"/>
      <c r="J16" s="5" t="n"/>
      <c r="K16" s="5" t="n"/>
      <c r="L16" s="5" t="n"/>
      <c r="M16" s="5" t="n"/>
      <c r="N16" s="5" t="n"/>
      <c r="O16" s="5" t="n"/>
      <c r="P16" s="4" t="n"/>
      <c r="Q16" s="6" t="n"/>
    </row>
    <row r="17">
      <c r="A17" s="4" t="n"/>
      <c r="B17" s="5" t="n"/>
      <c r="C17" s="4" t="n"/>
      <c r="D17" s="5" t="n"/>
      <c r="E17" s="4" t="n"/>
      <c r="F17" s="6" t="n"/>
      <c r="G17" s="4" t="n"/>
      <c r="H17" s="5" t="n"/>
      <c r="I17" s="5" t="n"/>
      <c r="J17" s="5" t="n"/>
      <c r="K17" s="5" t="n"/>
      <c r="L17" s="5" t="n"/>
      <c r="M17" s="5" t="n"/>
      <c r="N17" s="5" t="n"/>
      <c r="O17" s="5" t="n"/>
      <c r="P17" s="4" t="n"/>
      <c r="Q17" s="6" t="n"/>
    </row>
    <row r="18">
      <c r="A18" s="4" t="n"/>
      <c r="B18" s="5" t="n"/>
      <c r="C18" s="4" t="n"/>
      <c r="D18" s="5" t="n"/>
      <c r="E18" s="4" t="n"/>
      <c r="F18" s="6" t="n"/>
      <c r="G18" s="4" t="n"/>
      <c r="H18" s="5" t="n"/>
      <c r="I18" s="5" t="n"/>
      <c r="J18" s="5" t="n"/>
      <c r="K18" s="5" t="n"/>
      <c r="L18" s="5" t="n"/>
      <c r="M18" s="5" t="n"/>
      <c r="N18" s="5" t="n"/>
      <c r="O18" s="5" t="n"/>
      <c r="P18" s="4" t="n"/>
      <c r="Q18" s="6" t="n"/>
    </row>
    <row r="19">
      <c r="A19" s="4" t="n"/>
      <c r="B19" s="5" t="n"/>
      <c r="C19" s="4" t="n"/>
      <c r="D19" s="5" t="n"/>
      <c r="E19" s="4" t="n"/>
      <c r="F19" s="6" t="n"/>
      <c r="G19" s="4" t="n"/>
      <c r="H19" s="5" t="n"/>
      <c r="I19" s="5" t="n"/>
      <c r="J19" s="5" t="n"/>
      <c r="K19" s="5" t="n"/>
      <c r="L19" s="5" t="n"/>
      <c r="M19" s="5" t="n"/>
      <c r="N19" s="5" t="n"/>
      <c r="O19" s="5" t="n"/>
      <c r="P19" s="4" t="n"/>
      <c r="Q19" s="6" t="n"/>
    </row>
    <row r="20">
      <c r="A20" s="4" t="n"/>
      <c r="B20" s="5" t="n"/>
      <c r="C20" s="4" t="n"/>
      <c r="D20" s="5" t="n"/>
      <c r="E20" s="4" t="n"/>
      <c r="F20" s="6" t="n"/>
      <c r="G20" s="4" t="n"/>
      <c r="H20" s="5" t="n"/>
      <c r="I20" s="5" t="n"/>
      <c r="J20" s="5" t="n"/>
      <c r="K20" s="5" t="n"/>
      <c r="L20" s="5" t="n"/>
      <c r="M20" s="5" t="n"/>
      <c r="N20" s="5" t="n"/>
      <c r="O20" s="5" t="n"/>
      <c r="P20" s="4" t="n"/>
      <c r="Q20" s="6" t="n"/>
    </row>
    <row r="21">
      <c r="A21" s="4" t="n"/>
      <c r="B21" s="5" t="n"/>
      <c r="C21" s="4" t="n"/>
      <c r="D21" s="5" t="n"/>
      <c r="E21" s="4" t="n"/>
      <c r="F21" s="6" t="n"/>
      <c r="G21" s="4" t="n"/>
      <c r="H21" s="5" t="n"/>
      <c r="I21" s="5" t="n"/>
      <c r="J21" s="5" t="n"/>
      <c r="K21" s="5" t="n"/>
      <c r="L21" s="5" t="n"/>
      <c r="M21" s="5" t="n"/>
      <c r="N21" s="5" t="n"/>
      <c r="O21" s="5" t="n"/>
      <c r="P21" s="4" t="n"/>
      <c r="Q21" s="6" t="n"/>
    </row>
    <row r="22">
      <c r="A22" s="4" t="n"/>
      <c r="B22" s="5" t="n"/>
      <c r="C22" s="4" t="n"/>
      <c r="D22" s="5" t="n"/>
      <c r="E22" s="4" t="n"/>
      <c r="F22" s="6" t="n"/>
      <c r="G22" s="4" t="n"/>
      <c r="H22" s="5" t="n"/>
      <c r="I22" s="5" t="n"/>
      <c r="J22" s="5" t="n"/>
      <c r="K22" s="5" t="n"/>
      <c r="L22" s="5" t="n"/>
      <c r="M22" s="5" t="n"/>
      <c r="N22" s="5" t="n"/>
      <c r="O22" s="5" t="n"/>
      <c r="P22" s="4" t="n"/>
      <c r="Q22" s="6" t="n"/>
    </row>
    <row r="23">
      <c r="A23" s="4" t="n"/>
      <c r="B23" s="5" t="n"/>
      <c r="C23" s="4" t="n"/>
      <c r="D23" s="5" t="n"/>
      <c r="E23" s="4" t="n"/>
      <c r="F23" s="6" t="n"/>
      <c r="G23" s="4" t="n"/>
      <c r="H23" s="5" t="n"/>
      <c r="I23" s="5" t="n"/>
      <c r="J23" s="5" t="n"/>
      <c r="K23" s="5" t="n"/>
      <c r="L23" s="5" t="n"/>
      <c r="M23" s="5" t="n"/>
      <c r="N23" s="5" t="n"/>
      <c r="O23" s="5" t="n"/>
      <c r="P23" s="4" t="n"/>
      <c r="Q23" s="6" t="n"/>
    </row>
    <row r="24">
      <c r="A24" s="4" t="n"/>
      <c r="B24" s="5" t="n"/>
      <c r="C24" s="4" t="n"/>
      <c r="D24" s="5" t="n"/>
      <c r="E24" s="4" t="n"/>
      <c r="F24" s="6" t="n"/>
      <c r="G24" s="4" t="n"/>
      <c r="H24" s="5" t="n"/>
      <c r="I24" s="5" t="n"/>
      <c r="J24" s="5" t="n"/>
      <c r="K24" s="5" t="n"/>
      <c r="L24" s="5" t="n"/>
      <c r="M24" s="5" t="n"/>
      <c r="N24" s="5" t="n"/>
      <c r="O24" s="5" t="n"/>
      <c r="P24" s="4" t="n"/>
      <c r="Q24" s="6" t="n"/>
    </row>
    <row r="25">
      <c r="A25" s="4" t="n"/>
      <c r="B25" s="5" t="n"/>
      <c r="C25" s="4" t="n"/>
      <c r="D25" s="5" t="n"/>
      <c r="E25" s="4" t="n"/>
      <c r="F25" s="6" t="n"/>
      <c r="G25" s="4" t="n"/>
      <c r="H25" s="5" t="n"/>
      <c r="I25" s="5" t="n"/>
      <c r="J25" s="5" t="n"/>
      <c r="K25" s="5" t="n"/>
      <c r="L25" s="5" t="n"/>
      <c r="M25" s="5" t="n"/>
      <c r="N25" s="5" t="n"/>
      <c r="O25" s="5" t="n"/>
      <c r="P25" s="4" t="n"/>
      <c r="Q25" s="6" t="n"/>
    </row>
    <row r="27">
      <c r="A27" s="2" t="inlineStr">
        <is>
          <t>Row 5 is a worked example — overwrite or delete it before the first real run.</t>
        </is>
      </c>
    </row>
  </sheetData>
  <conditionalFormatting sqref="O5:O25">
    <cfRule type="cellIs" priority="1" operator="equal" dxfId="0">
      <formula>"Go"</formula>
    </cfRule>
    <cfRule type="cellIs" priority="2" operator="equal" dxfId="5">
      <formula>"No-go"</formula>
    </cfRule>
    <cfRule type="cellIs" priority="3" operator="equal" dxfId="6">
      <formula>"Conditional go"</formula>
    </cfRule>
  </conditionalFormatting>
  <dataValidations count="1">
    <dataValidation sqref="O5:O25" showDropDown="0" showInputMessage="0" showErrorMessage="0" allowBlank="1" type="list">
      <formula1>"Go,No-go,Conditional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2026-08-25T09:07:45Z</dcterms:created>
  <dcterms:modified xsi:type="dcterms:W3CDTF">2026-08-25T09:07:45Z</dcterms:modified>
</cp:coreProperties>
</file>