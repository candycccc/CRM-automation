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Test Plan" sheetId="2" state="visible" r:id="rId2"/>
    <sheet name="Summary" sheetId="3" state="visible" r:id="rId3"/>
    <sheet name="Delivery gate" sheetId="4" state="visible" r:id="rId4"/>
    <sheet name="Traceability" sheetId="5" state="visible" r:id="rId5"/>
    <sheet name="Use Case Coverage" sheetId="6" state="visible" r:id="rId6"/>
    <sheet name="Phase 1A" sheetId="7" state="visible" r:id="rId7"/>
    <sheet name="Phase 1B" sheetId="8" state="visible" r:id="rId8"/>
    <sheet name="Recipe coverage" sheetId="9" state="visible" r:id="rId9"/>
    <sheet name="Phase 1C" sheetId="10" state="visible" r:id="rId10"/>
    <sheet name="Regression" sheetId="11" state="visible" r:id="rId11"/>
    <sheet name="Non-functional" sheetId="12" state="visible" r:id="rId12"/>
    <sheet name="Test Runs" sheetId="13" state="visible" r:id="rId13"/>
  </sheets>
  <definedNames>
    <definedName name="_xlnm._FilterDatabase" localSheetId="3" hidden="1">'Delivery gate'!$A$4:$J$44</definedName>
    <definedName name="_xlnm._FilterDatabase" localSheetId="4" hidden="1">'Traceability'!$A$4:$J$20</definedName>
    <definedName name="_xlnm._FilterDatabase" localSheetId="5" hidden="1">'Use Case Coverage'!$A$4:$J$22</definedName>
    <definedName name="_xlnm._FilterDatabase" localSheetId="6" hidden="1">'Phase 1A'!$A$4:$V$58</definedName>
    <definedName name="_xlnm._FilterDatabase" localSheetId="7" hidden="1">'Phase 1B'!$A$4:$V$29</definedName>
    <definedName name="_xlnm._FilterDatabase" localSheetId="8" hidden="1">'Recipe coverage'!$A$4:$N$16</definedName>
    <definedName name="_xlnm._FilterDatabase" localSheetId="9" hidden="1">'Phase 1C'!$A$4:$V$40</definedName>
    <definedName name="_xlnm._FilterDatabase" localSheetId="10" hidden="1">'Regression'!$A$4:$V$10</definedName>
    <definedName name="_xlnm._FilterDatabase" localSheetId="11" hidden="1">'Non-functional'!$A$4:$V$20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9A3BA3"/>
      <sz val="10"/>
    </font>
    <font>
      <name val="Arial"/>
      <b val="1"/>
      <color rgb="001B2A41"/>
      <sz val="11"/>
    </font>
  </fonts>
  <fills count="5">
    <fill>
      <patternFill/>
    </fill>
    <fill>
      <patternFill patternType="gray125"/>
    </fill>
    <fill>
      <patternFill patternType="solid">
        <fgColor rgb="001B2A41"/>
      </patternFill>
    </fill>
    <fill>
      <patternFill patternType="solid">
        <fgColor rgb="00EFF1F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  <xf numFmtId="0" fontId="5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5" fillId="3" borderId="1" pivotButton="0" quotePrefix="0" xfId="0"/>
    <xf numFmtId="0" fontId="5" fillId="3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center"/>
    </xf>
    <xf numFmtId="0" fontId="5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 vertical="top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5" fillId="4" borderId="0" pivotButton="0" quotePrefix="0" xfId="0"/>
    <xf numFmtId="0" fontId="2" fillId="0" borderId="0" applyAlignment="1" pivotButton="0" quotePrefix="0" xfId="0">
      <alignment vertical="top" wrapText="1"/>
    </xf>
    <xf numFmtId="0" fontId="7" fillId="3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name val="Arial"/>
        <color rgb="00006100"/>
        <sz val="1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9C0006"/>
        <sz val="10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8A4B00"/>
        <sz val="10"/>
      </font>
      <fill>
        <patternFill patternType="solid">
          <fgColor rgb="00FFE0B2"/>
          <bgColor rgb="00FFE0B2"/>
        </patternFill>
      </fill>
    </dxf>
    <dxf>
      <font>
        <name val="Arial"/>
        <color rgb="00595959"/>
        <sz val="10"/>
      </font>
      <fill>
        <patternFill patternType="solid">
          <fgColor rgb="00E7E6E6"/>
          <bgColor rgb="00E7E6E6"/>
        </patternFill>
      </fill>
    </dxf>
    <dxf>
      <font>
        <name val="Arial"/>
        <color rgb="00808080"/>
        <sz val="10"/>
      </font>
      <fill>
        <patternFill patternType="solid">
          <fgColor rgb="00F2F2F2"/>
          <bgColor rgb="00F2F2F2"/>
        </patternFill>
      </fill>
    </dxf>
    <dxf>
      <font>
        <name val="Arial"/>
        <color rgb="009C0006"/>
        <sz val="10"/>
      </font>
      <fill>
        <patternFill patternType="solid">
          <fgColor rgb="00FFC7CE"/>
          <bgColor rgb="00FFC7CE"/>
        </patternFill>
      </fill>
    </dxf>
    <dxf>
      <font>
        <name val="Arial"/>
        <color rgb="007F6000"/>
        <sz val="10"/>
      </font>
      <fill>
        <patternFill patternType="solid">
          <fgColor rgb="00FFF2CC"/>
          <bgColor rgb="00FFF2CC"/>
        </patternFill>
      </fill>
    </dxf>
    <dxf>
      <font>
        <name val="Arial"/>
        <color rgb="008A4B00"/>
        <sz val="10"/>
      </font>
      <fill>
        <patternFill patternType="solid">
          <fgColor rgb="00FFE0B2"/>
          <bgColor rgb="00FFE0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WeQuote CRM — Phase 1 QA checklist</t>
        </is>
      </c>
    </row>
    <row r="2">
      <c r="A2" s="15" t="inlineStr">
        <is>
          <t>Source</t>
        </is>
      </c>
      <c r="B2" s="21" t="inlineStr">
        <is>
          <t>Derived from WeQuote-CRM-Phase-1-PRD.html — acceptance criteria (§B3), requirements (§B2) and the delivery gate (§A14).</t>
        </is>
      </c>
    </row>
    <row r="3">
      <c r="A3" s="15" t="inlineStr"/>
      <c r="B3" s="21" t="inlineStr"/>
    </row>
    <row r="4">
      <c r="A4" s="15" t="inlineStr">
        <is>
          <t>Sheets</t>
        </is>
      </c>
      <c r="B4" s="21" t="inlineStr">
        <is>
          <t>Summary · Delivery gate · Phase 1A / 1B / 1C · Recipe coverage · Regression</t>
        </is>
      </c>
    </row>
    <row r="5">
      <c r="A5" s="15" t="inlineStr">
        <is>
          <t>Fill in</t>
        </is>
      </c>
      <c r="B5" s="21" t="inlineStr">
        <is>
          <t>Status onwards. Everything left of Status describes the test and should not be edited.</t>
        </is>
      </c>
    </row>
    <row r="6">
      <c r="A6" s="15" t="inlineStr">
        <is>
          <t>Status values</t>
        </is>
      </c>
      <c r="B6" s="21" t="inlineStr">
        <is>
          <t>Not run · Pass · Fail · Blocked · N/A</t>
        </is>
      </c>
    </row>
    <row r="7">
      <c r="A7" s="15" t="inlineStr">
        <is>
          <t>What blocks a release</t>
        </is>
      </c>
      <c r="B7" s="21" t="inlineStr">
        <is>
          <t>Fail, Blocked and Not run block. Pass and N/A do not.</t>
        </is>
      </c>
    </row>
    <row r="8" ht="28" customHeight="1">
      <c r="A8" s="15" t="inlineStr">
        <is>
          <t>Using N/A</t>
        </is>
      </c>
      <c r="B8" s="21" t="inlineStr">
        <is>
          <t>Only for a test that cannot apply to this release. It must carry a reason in Notes and a name in 'Waiver approved by'. The Summary counts unapproved N/A separately.</t>
        </is>
      </c>
    </row>
    <row r="9" ht="28" customHeight="1">
      <c r="A9" s="15" t="inlineStr">
        <is>
          <t>Applies from</t>
        </is>
      </c>
      <c r="B9" s="21" t="inlineStr">
        <is>
          <t>On Regression, the earliest release a rule can be tested in. A Phase 1A gate only counts rules that apply from Phase 1A.</t>
        </is>
      </c>
    </row>
    <row r="10" ht="28" customHeight="1">
      <c r="A10" s="15" t="inlineStr">
        <is>
          <t>Method</t>
        </is>
      </c>
      <c r="B10" s="21" t="inlineStr">
        <is>
          <t>Manual, Automated or Both. The PRD requires the resolver, tenancy and duplicate tests to be automated — record the CI link under Evidence.</t>
        </is>
      </c>
    </row>
    <row r="11">
      <c r="A11" s="15" t="inlineStr">
        <is>
          <t>Priority</t>
        </is>
      </c>
      <c r="B11" s="21" t="inlineStr">
        <is>
          <t>P1 must pass before the release ships. P2 needs a named owner to accept any exception. P3 is optional.</t>
        </is>
      </c>
    </row>
    <row r="12">
      <c r="A12" s="15" t="inlineStr">
        <is>
          <t>Date format</t>
        </is>
      </c>
      <c r="B12" s="21" t="inlineStr">
        <is>
          <t>YYYY-MM-DD</t>
        </is>
      </c>
    </row>
    <row r="13">
      <c r="A13" s="15" t="inlineStr"/>
      <c r="B13" s="21" t="inlineStr"/>
    </row>
    <row r="14" ht="30" customHeight="1">
      <c r="A14" s="15" t="inlineStr">
        <is>
          <t>Example row</t>
        </is>
      </c>
      <c r="B14" s="22" t="inlineStr">
        <is>
          <t>Status: Fail  ·  Actual result: Deal stayed in Qualified  ·  Build: 1A-rc3  ·  Environment: Staging  ·  Browser: Chrome 141 / macOS  ·  Test data: D-0348  ·  Evidence: jira/WQ-1183  ·  Defect ID: WQ-1183  ·  Tester: KW  ·  Date: 2026-09-04</t>
        </is>
      </c>
    </row>
    <row r="15">
      <c r="A15" s="15" t="inlineStr"/>
      <c r="B15" s="21" t="inlineStr"/>
    </row>
    <row r="16">
      <c r="A16" s="15" t="inlineStr">
        <is>
          <t>Assumptions</t>
        </is>
      </c>
      <c r="B16" s="21" t="inlineStr">
        <is>
          <t>1. Tests marked 'cond. D1' apply only if backward Deal movement is approved.</t>
        </is>
      </c>
    </row>
    <row r="17">
      <c r="A17" s="15" t="inlineStr"/>
      <c r="B17" s="21" t="inlineStr">
        <is>
          <t>2. D5 tests have no fixed expected result until the over-quota and sales-order ruling is recorded.</t>
        </is>
      </c>
    </row>
    <row r="18">
      <c r="A18" s="15" t="inlineStr"/>
      <c r="B18" s="21" t="inlineStr">
        <is>
          <t>3. D7 decides whose approval threshold applies; the approval boundary tests inherit that answer.</t>
        </is>
      </c>
    </row>
    <row r="19">
      <c r="A19" s="15" t="inlineStr"/>
      <c r="B19" s="21" t="inlineStr">
        <is>
          <t>4. Phase 1B and 1C assume the preceding release passed its own P1 tests.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cols>
    <col width="26" customWidth="1" min="1" max="1"/>
    <col width="108" customWidth="1" min="2" max="2"/>
  </cols>
  <sheetData>
    <row r="1">
      <c r="A1" s="1" t="inlineStr">
        <is>
          <t>Test plan — WeQuote CRM Phase 1</t>
        </is>
      </c>
    </row>
    <row r="2">
      <c r="A2" s="2" t="inlineStr">
        <is>
          <t>How this release is tested, by whom, in what order, and what has to be true before it ships.</t>
        </is>
      </c>
    </row>
    <row r="4">
      <c r="A4" s="26" t="inlineStr">
        <is>
          <t>Objectives</t>
        </is>
      </c>
      <c r="B4" s="27" t="n"/>
    </row>
    <row r="5" ht="15" customHeight="1">
      <c r="A5" s="28" t="n"/>
      <c r="B5" s="6" t="inlineStr">
        <is>
          <t>• Prove the Deal stage is always derived from quotes and can never be typed in.</t>
        </is>
      </c>
    </row>
    <row r="6" ht="15" customHeight="1">
      <c r="A6" s="28" t="n"/>
      <c r="B6" s="6" t="inlineStr">
        <is>
          <t>• Prove one customer account can never read or change another's records.</t>
        </is>
      </c>
    </row>
    <row r="7" ht="15" customHeight="1">
      <c r="A7" s="28" t="n"/>
      <c r="B7" s="6" t="inlineStr">
        <is>
          <t>• Prove an Automation cannot approve, send, accept, or decide Won or Lost.</t>
        </is>
      </c>
    </row>
    <row r="8" ht="15" customHeight="1">
      <c r="A8" s="28" t="n"/>
      <c r="B8" s="6" t="inlineStr">
        <is>
          <t>• Prove money figures — signed value, change orders, margin — agree with the quotes behind them.</t>
        </is>
      </c>
    </row>
    <row r="9" ht="15" customHeight="1">
      <c r="A9" s="28" t="n"/>
      <c r="B9" s="6" t="inlineStr">
        <is>
          <t>• Prove each release can ship on its own without waiting for the next.</t>
        </is>
      </c>
    </row>
    <row r="11">
      <c r="A11" s="26" t="inlineStr">
        <is>
          <t>In scope</t>
        </is>
      </c>
      <c r="B11" s="27" t="n"/>
    </row>
    <row r="12" ht="15" customHeight="1">
      <c r="A12" s="28" t="n"/>
      <c r="B12" s="6" t="inlineStr">
        <is>
          <t>• Lead, Deal, Customer, Company and Activity records.</t>
        </is>
      </c>
    </row>
    <row r="13" ht="15" customHeight="1">
      <c r="A13" s="28" t="n"/>
      <c r="B13" s="6" t="inlineStr">
        <is>
          <t>• Quote-to-stage logic, alternative groups and change orders.</t>
        </is>
      </c>
    </row>
    <row r="14" ht="15" customHeight="1">
      <c r="A14" s="28" t="n"/>
      <c r="B14" s="6" t="inlineStr">
        <is>
          <t>• Deal value and the four margin figures.</t>
        </is>
      </c>
    </row>
    <row r="15" ht="15" customHeight="1">
      <c r="A15" s="28" t="n"/>
      <c r="B15" s="6" t="inlineStr">
        <is>
          <t>• Managed recipes, their settings, scheduling and results.</t>
        </is>
      </c>
    </row>
    <row r="16" ht="15" customHeight="1">
      <c r="A16" s="28" t="n"/>
      <c r="B16" s="6" t="inlineStr">
        <is>
          <t>• The advanced builder: catalogue, editing, testing, publishing, required work.</t>
        </is>
      </c>
    </row>
    <row r="17" ht="15" customHeight="1">
      <c r="A17" s="28" t="n"/>
      <c r="B17" s="6" t="inlineStr">
        <is>
          <t>• Company-level visibility and account isolation.</t>
        </is>
      </c>
    </row>
    <row r="19">
      <c r="A19" s="26" t="inlineStr">
        <is>
          <t>Out of scope</t>
        </is>
      </c>
      <c r="B19" s="27" t="n"/>
    </row>
    <row r="20" ht="15" customHeight="1">
      <c r="A20" s="28" t="n"/>
      <c r="B20" s="6" t="inlineStr">
        <is>
          <t>• Forecast dashboards and weighted probability — Phase 2.</t>
        </is>
      </c>
    </row>
    <row r="21" ht="15" customHeight="1">
      <c r="A21" s="28" t="n"/>
      <c r="B21" s="6" t="inlineStr">
        <is>
          <t>• Customer-created custom stages — Phase 2.</t>
        </is>
      </c>
    </row>
    <row r="22" ht="15" customHeight="1">
      <c r="A22" s="28" t="n"/>
      <c r="B22" s="6" t="inlineStr">
        <is>
          <t>• Fully custom pipelines — Phase 3.</t>
        </is>
      </c>
    </row>
    <row r="23" ht="15" customHeight="1">
      <c r="A23" s="28" t="n"/>
      <c r="B23" s="6" t="inlineStr">
        <is>
          <t>• Public web-to-lead forms — deferred.</t>
        </is>
      </c>
    </row>
    <row r="24" ht="15" customHeight="1">
      <c r="A24" s="28" t="n"/>
      <c r="B24" s="6" t="inlineStr">
        <is>
          <t>• Zoho, QuickBooks and Xero behaviour beyond the coexistence rule in §C3.</t>
        </is>
      </c>
    </row>
    <row r="26">
      <c r="A26" s="26" t="inlineStr">
        <is>
          <t>Test levels</t>
        </is>
      </c>
      <c r="B26" s="27" t="n"/>
    </row>
    <row r="27" ht="15" customHeight="1">
      <c r="A27" s="28" t="n"/>
      <c r="B27" s="6" t="inlineStr">
        <is>
          <t>• Component: stage logic, quote-inclusion test, value arithmetic — automated.</t>
        </is>
      </c>
    </row>
    <row r="28" ht="15" customHeight="1">
      <c r="A28" s="28" t="n"/>
      <c r="B28" s="6" t="inlineStr">
        <is>
          <t>• Integration: quote event to Deal update to Automation run — automated.</t>
        </is>
      </c>
    </row>
    <row r="29" ht="15" customHeight="1">
      <c r="A29" s="28" t="n"/>
      <c r="B29" s="6" t="inlineStr">
        <is>
          <t>• System: the end-to-end journeys on the Use Case Coverage sheet — manual.</t>
        </is>
      </c>
    </row>
    <row r="30" ht="15" customHeight="1">
      <c r="A30" s="28" t="n"/>
      <c r="B30" s="6" t="inlineStr">
        <is>
          <t>• UAT: the same journeys run by Sales and an Admin on staging.</t>
        </is>
      </c>
    </row>
    <row r="31" ht="15" customHeight="1">
      <c r="A31" s="28" t="n"/>
      <c r="B31" s="6" t="inlineStr">
        <is>
          <t>• Regression: the six locked rules, re-run in full before every release.</t>
        </is>
      </c>
    </row>
    <row r="33">
      <c r="A33" s="26" t="inlineStr">
        <is>
          <t>Approach</t>
        </is>
      </c>
      <c r="B33" s="27" t="n"/>
    </row>
    <row r="34" ht="15" customHeight="1">
      <c r="A34" s="28" t="n"/>
      <c r="B34" s="6" t="inlineStr">
        <is>
          <t>• Automate anything the PRD names as automated: the precedence ladder, the quote-inclusion clauses, both revision flags, idempotency and account isolation.</t>
        </is>
      </c>
    </row>
    <row r="35" ht="15" customHeight="1">
      <c r="A35" s="28" t="n"/>
      <c r="B35" s="6" t="inlineStr">
        <is>
          <t>• Everything else is manual, with evidence attached.</t>
        </is>
      </c>
    </row>
    <row r="36" ht="15" customHeight="1">
      <c r="A36" s="28" t="n"/>
      <c r="B36" s="6" t="inlineStr">
        <is>
          <t>• Each test records its Method so automated coverage can be proven, not asserted.</t>
        </is>
      </c>
    </row>
    <row r="38">
      <c r="A38" s="26" t="inlineStr">
        <is>
          <t>Environment</t>
        </is>
      </c>
      <c r="B38" s="27" t="n"/>
    </row>
    <row r="39" ht="15" customHeight="1">
      <c r="A39" s="28" t="n"/>
      <c r="B39" s="6" t="inlineStr">
        <is>
          <t>• Staging, refreshed from a masked production copy before each release cycle.</t>
        </is>
      </c>
    </row>
    <row r="40" ht="15" customHeight="1">
      <c r="A40" s="28" t="n"/>
      <c r="B40" s="6" t="inlineStr">
        <is>
          <t>• Build or commit recorded against every executed test.</t>
        </is>
      </c>
    </row>
    <row r="41" ht="15" customHeight="1">
      <c r="A41" s="28" t="n"/>
      <c r="B41" s="6" t="inlineStr">
        <is>
          <t>• Timed recipes need the work queue running; note in Actual result if it was not.</t>
        </is>
      </c>
    </row>
    <row r="43">
      <c r="A43" s="26" t="inlineStr">
        <is>
          <t>Test accounts</t>
        </is>
      </c>
      <c r="B43" s="27" t="n"/>
    </row>
    <row r="44" ht="15" customHeight="1">
      <c r="A44" s="28" t="n"/>
      <c r="B44" s="6" t="inlineStr">
        <is>
          <t>• Audio Vision Group with at least three companies, for company-scope tests.</t>
        </is>
      </c>
    </row>
    <row r="45" ht="15" customHeight="1">
      <c r="A45" s="28" t="n"/>
      <c r="B45" s="6" t="inlineStr">
        <is>
          <t>• A second unrelated account, for isolation tests.</t>
        </is>
      </c>
    </row>
    <row r="46" ht="15" customHeight="1">
      <c r="A46" s="28" t="n"/>
      <c r="B46" s="6" t="inlineStr">
        <is>
          <t>• One Sales user limited to one company, one manager across all, one user with no CRM access.</t>
        </is>
      </c>
    </row>
    <row r="47" ht="15" customHeight="1">
      <c r="A47" s="28" t="n"/>
      <c r="B47" s="6" t="inlineStr">
        <is>
          <t>• An approver distinct from the quote owner, for the high-value approval tests.</t>
        </is>
      </c>
    </row>
    <row r="49">
      <c r="A49" s="26" t="inlineStr">
        <is>
          <t>Test data</t>
        </is>
      </c>
      <c r="B49" s="27" t="n"/>
    </row>
    <row r="50" ht="15" customHeight="1">
      <c r="A50" s="28" t="n"/>
      <c r="B50" s="6" t="inlineStr">
        <is>
          <t>• A Deal with three quotes in one alternative group.</t>
        </is>
      </c>
    </row>
    <row r="51" ht="15" customHeight="1">
      <c r="A51" s="28" t="n"/>
      <c r="B51" s="6" t="inlineStr">
        <is>
          <t>• A Deal with two independent quotes.</t>
        </is>
      </c>
    </row>
    <row r="52" ht="15" customHeight="1">
      <c r="A52" s="28" t="n"/>
      <c r="B52" s="6" t="inlineStr">
        <is>
          <t>• A quote family whose latest revision is not the active one.</t>
        </is>
      </c>
    </row>
    <row r="53" ht="15" customHeight="1">
      <c r="A53" s="28" t="n"/>
      <c r="B53" s="6" t="inlineStr">
        <is>
          <t>• One sample, one template and one archived quote.</t>
        </is>
      </c>
    </row>
    <row r="54" ht="15" customHeight="1">
      <c r="A54" s="28" t="n"/>
      <c r="B54" s="6" t="inlineStr">
        <is>
          <t>• An accepted quote with a signed change order.</t>
        </is>
      </c>
    </row>
    <row r="55" ht="15" customHeight="1">
      <c r="A55" s="28" t="n"/>
      <c r="B55" s="6" t="inlineStr">
        <is>
          <t>• At least one non-Sales pipeline with its own Deals.</t>
        </is>
      </c>
    </row>
    <row r="57">
      <c r="A57" s="26" t="inlineStr">
        <is>
          <t>Entry criteria</t>
        </is>
      </c>
      <c r="B57" s="27" t="n"/>
    </row>
    <row r="58" ht="15" customHeight="1">
      <c r="A58" s="28" t="n"/>
      <c r="B58" s="6" t="inlineStr">
        <is>
          <t>• The build is deployed to staging and smoke-passes.</t>
        </is>
      </c>
    </row>
    <row r="59" ht="15" customHeight="1">
      <c r="A59" s="28" t="n"/>
      <c r="B59" s="6" t="inlineStr">
        <is>
          <t>• The release's blocking Delivery gate items for Decisions and Data are Done.</t>
        </is>
      </c>
    </row>
    <row r="60" ht="15" customHeight="1">
      <c r="A60" s="28" t="n"/>
      <c r="B60" s="6" t="inlineStr">
        <is>
          <t>• Test data above is present.</t>
        </is>
      </c>
    </row>
    <row r="61" ht="15" customHeight="1">
      <c r="A61" s="28" t="n"/>
      <c r="B61" s="6" t="inlineStr">
        <is>
          <t>• Known defects from the previous cycle are triaged.</t>
        </is>
      </c>
    </row>
    <row r="63">
      <c r="A63" s="26" t="inlineStr">
        <is>
          <t>Exit criteria</t>
        </is>
      </c>
      <c r="B63" s="27" t="n"/>
    </row>
    <row r="64" ht="15" customHeight="1">
      <c r="A64" s="28" t="n"/>
      <c r="B64" s="6" t="inlineStr">
        <is>
          <t>• Every P1 test for that release is Pass, or N/A with a reason and an approver.</t>
        </is>
      </c>
    </row>
    <row r="65" ht="15" customHeight="1">
      <c r="A65" s="28" t="n"/>
      <c r="B65" s="6" t="inlineStr">
        <is>
          <t>• No open defect of severity 1 or 2.</t>
        </is>
      </c>
    </row>
    <row r="66" ht="15" customHeight="1">
      <c r="A66" s="28" t="n"/>
      <c r="B66" s="6" t="inlineStr">
        <is>
          <t>• Every Blocking gate item for that release is Done.</t>
        </is>
      </c>
    </row>
    <row r="67" ht="15" customHeight="1">
      <c r="A67" s="28" t="n"/>
      <c r="B67" s="6" t="inlineStr">
        <is>
          <t>• Automated tests named in the PRD are running in CI with a link recorded.</t>
        </is>
      </c>
    </row>
    <row r="69">
      <c r="A69" s="26" t="inlineStr">
        <is>
          <t>Roles</t>
        </is>
      </c>
      <c r="B69" s="27" t="n"/>
    </row>
    <row r="70" ht="15" customHeight="1">
      <c r="A70" s="28" t="n"/>
      <c r="B70" s="6" t="inlineStr">
        <is>
          <t>• QA runs the cases and records results.</t>
        </is>
      </c>
    </row>
    <row r="71" ht="15" customHeight="1">
      <c r="A71" s="28" t="n"/>
      <c r="B71" s="6" t="inlineStr">
        <is>
          <t>• Engineering fixes defects and provides the CI links.</t>
        </is>
      </c>
    </row>
    <row r="72" ht="15" customHeight="1">
      <c r="A72" s="28" t="n"/>
      <c r="B72" s="6" t="inlineStr">
        <is>
          <t>• Product decides on N/A waivers and answers the open decisions.</t>
        </is>
      </c>
    </row>
    <row r="73" ht="15" customHeight="1">
      <c r="A73" s="28" t="n"/>
      <c r="B73" s="6" t="inlineStr">
        <is>
          <t>• Design confirms the interface behaviour cases.</t>
        </is>
      </c>
    </row>
    <row r="74" ht="15" customHeight="1">
      <c r="A74" s="28" t="n"/>
      <c r="B74" s="6" t="inlineStr">
        <is>
          <t>• CTO signs the release gate.</t>
        </is>
      </c>
    </row>
    <row r="76">
      <c r="A76" s="26" t="inlineStr">
        <is>
          <t>Defect severity</t>
        </is>
      </c>
      <c r="B76" s="27" t="n"/>
    </row>
    <row r="77" ht="15" customHeight="1">
      <c r="A77" s="28" t="n"/>
      <c r="B77" s="6" t="inlineStr">
        <is>
          <t>• S1 — data loss, cross-account leakage, or a wrong Deal stage or value. Blocks the release.</t>
        </is>
      </c>
    </row>
    <row r="78" ht="15" customHeight="1">
      <c r="A78" s="28" t="n"/>
      <c r="B78" s="6" t="inlineStr">
        <is>
          <t>• S2 — a documented rule not enforced, or a protected action reachable. Blocks the release.</t>
        </is>
      </c>
    </row>
    <row r="79" ht="15" customHeight="1">
      <c r="A79" s="28" t="n"/>
      <c r="B79" s="6" t="inlineStr">
        <is>
          <t>• S3 — wrong or missing feedback, recoverable. Fix or waive with an owner.</t>
        </is>
      </c>
    </row>
    <row r="80" ht="15" customHeight="1">
      <c r="A80" s="28" t="n"/>
      <c r="B80" s="6" t="inlineStr">
        <is>
          <t>• S4 — cosmetic. Backlog.</t>
        </is>
      </c>
    </row>
    <row r="82">
      <c r="A82" s="26" t="inlineStr">
        <is>
          <t>Retest and regression</t>
        </is>
      </c>
      <c r="B82" s="27" t="n"/>
    </row>
    <row r="83" ht="15" customHeight="1">
      <c r="A83" s="28" t="n"/>
      <c r="B83" s="6" t="inlineStr">
        <is>
          <t>• A fixed defect is retested on the build that contains the fix.</t>
        </is>
      </c>
    </row>
    <row r="84" ht="15" customHeight="1">
      <c r="A84" s="28" t="n"/>
      <c r="B84" s="6" t="inlineStr">
        <is>
          <t>• Any change to stage logic, value arithmetic or the block catalogue re-runs the whole Regression sheet.</t>
        </is>
      </c>
    </row>
    <row r="85" ht="15" customHeight="1">
      <c r="A85" s="28" t="n"/>
      <c r="B85" s="6" t="inlineStr">
        <is>
          <t>• A hotfix re-runs Regression plus the affected area.</t>
        </is>
      </c>
    </row>
    <row r="87">
      <c r="A87" s="26" t="inlineStr">
        <is>
          <t>Risks</t>
        </is>
      </c>
      <c r="B87" s="27" t="n"/>
    </row>
    <row r="88" ht="15" customHeight="1">
      <c r="A88" s="28" t="n"/>
      <c r="B88" s="6" t="inlineStr">
        <is>
          <t>• The activity timeline is barely used today; adoption is unproven — see §A13 D3.</t>
        </is>
      </c>
    </row>
    <row r="89" ht="15" customHeight="1">
      <c r="A89" s="28" t="n"/>
      <c r="B89" s="6" t="inlineStr">
        <is>
          <t>• Zoho-connected accounts must stay switched off until D2 is answered.</t>
        </is>
      </c>
    </row>
    <row r="90" ht="15" customHeight="1">
      <c r="A90" s="28" t="n"/>
      <c r="B90" s="6" t="inlineStr">
        <is>
          <t>• Timed recipes depend on a work queue that does not exist yet.</t>
        </is>
      </c>
    </row>
    <row r="91" ht="15" customHeight="1">
      <c r="A91" s="28" t="n"/>
      <c r="B91" s="6" t="inlineStr">
        <is>
          <t>• Backward Deal movement is conditional on D1; those tests stay N/A until it is answered.</t>
        </is>
      </c>
    </row>
    <row r="93">
      <c r="A93" s="26" t="inlineStr">
        <is>
          <t>Release verification</t>
        </is>
      </c>
      <c r="B93" s="27" t="n"/>
    </row>
    <row r="94" ht="15" customHeight="1">
      <c r="A94" s="28" t="n"/>
      <c r="B94" s="6" t="inlineStr">
        <is>
          <t>• After deploy, re-run the Regression sheet on production data for one pilot account.</t>
        </is>
      </c>
    </row>
    <row r="95" ht="15" customHeight="1">
      <c r="A95" s="28" t="n"/>
      <c r="B95" s="6" t="inlineStr">
        <is>
          <t>• Confirm the pipeline board, one Deal's value, and one recipe run.</t>
        </is>
      </c>
    </row>
    <row r="96" ht="15" customHeight="1">
      <c r="A96" s="28" t="n"/>
      <c r="B96" s="6" t="inlineStr">
        <is>
          <t>• Rollback plan: disable the CRM navigation entry; no data migration is reversed automatically.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9" customWidth="1" min="5" max="5"/>
    <col width="7" customWidth="1" min="6" max="6"/>
    <col width="9" customWidth="1" min="7" max="7"/>
    <col width="12" customWidth="1" min="8" max="8"/>
    <col width="26" customWidth="1" min="9" max="9"/>
  </cols>
  <sheetData>
    <row r="1">
      <c r="A1" s="1" t="inlineStr">
        <is>
          <t>Release gates</t>
        </is>
      </c>
    </row>
    <row r="2">
      <c r="A2" s="2" t="inlineStr">
        <is>
          <t>A release is clear when no P1 test is Fail, Blocked or Not run. Pass and N/A do not block; an N/A needs a reason and an approver.</t>
        </is>
      </c>
    </row>
    <row r="4">
      <c r="A4" s="3" t="inlineStr">
        <is>
          <t>Release</t>
        </is>
      </c>
      <c r="B4" s="3" t="inlineStr">
        <is>
          <t>Total</t>
        </is>
      </c>
      <c r="C4" s="3" t="inlineStr">
        <is>
          <t>Pass</t>
        </is>
      </c>
      <c r="D4" s="3" t="inlineStr">
        <is>
          <t>Fail</t>
        </is>
      </c>
      <c r="E4" s="3" t="inlineStr">
        <is>
          <t>Blocked</t>
        </is>
      </c>
      <c r="F4" s="3" t="inlineStr">
        <is>
          <t>N/A</t>
        </is>
      </c>
      <c r="G4" s="3" t="inlineStr">
        <is>
          <t>Not run</t>
        </is>
      </c>
      <c r="H4" s="3" t="inlineStr">
        <is>
          <t>P1 blocking</t>
        </is>
      </c>
      <c r="I4" s="3" t="inlineStr">
        <is>
          <t>Verdict</t>
        </is>
      </c>
    </row>
    <row r="5">
      <c r="A5" s="10" t="inlineStr">
        <is>
          <t>Phase 1A</t>
        </is>
      </c>
      <c r="B5" s="5">
        <f>COUNTA('Phase 1A'!$A$5:$A$58)</f>
        <v/>
      </c>
      <c r="C5" s="5">
        <f>COUNTIF('Phase 1A'!$K$5:$K$58,"Pass")</f>
        <v/>
      </c>
      <c r="D5" s="5">
        <f>COUNTIF('Phase 1A'!$K$5:$K$58,"Fail")</f>
        <v/>
      </c>
      <c r="E5" s="5">
        <f>COUNTIF('Phase 1A'!$K$5:$K$58,"Blocked")</f>
        <v/>
      </c>
      <c r="F5" s="5">
        <f>COUNTIF('Phase 1A'!$K$5:$K$58,"N/A")</f>
        <v/>
      </c>
      <c r="G5" s="5">
        <f>COUNTIF('Phase 1A'!$K$5:$K$58,"Not run")</f>
        <v/>
      </c>
      <c r="H5" s="5">
        <f>COUNTIFS('Phase 1A'!$E$5:$E$58,"P1")-COUNTIFS('Phase 1A'!$E$5:$E$58,"P1",'Phase 1A'!$K$5:$K$58,"Pass")-COUNTIFS('Phase 1A'!$E$5:$E$58,"P1",'Phase 1A'!$K$5:$K$58,"N/A")+COUNTIFS(Regression!$C$5:$C$10,"Phase 1A",Regression!$E$5:$E$10,"P1")-COUNTIFS(Regression!$C$5:$C$10,"Phase 1A",Regression!$E$5:$E$10,"P1",Regression!$K$5:$K$10,"Pass")-COUNTIFS(Regression!$C$5:$C$10,"Phase 1A",Regression!$E$5:$E$10,"P1",Regression!$K$5:$K$10,"N/A")</f>
        <v/>
      </c>
      <c r="I5" s="11">
        <f>IF(H5=0,"Clear to ship","Blocked — "&amp;H5&amp;" P1 outstanding")</f>
        <v/>
      </c>
    </row>
    <row r="6">
      <c r="A6" s="10" t="inlineStr">
        <is>
          <t>Phase 1B</t>
        </is>
      </c>
      <c r="B6" s="5">
        <f>COUNTA('Phase 1B'!$A$5:$A$29)</f>
        <v/>
      </c>
      <c r="C6" s="5">
        <f>COUNTIF('Phase 1B'!$K$5:$K$29,"Pass")</f>
        <v/>
      </c>
      <c r="D6" s="5">
        <f>COUNTIF('Phase 1B'!$K$5:$K$29,"Fail")</f>
        <v/>
      </c>
      <c r="E6" s="5">
        <f>COUNTIF('Phase 1B'!$K$5:$K$29,"Blocked")</f>
        <v/>
      </c>
      <c r="F6" s="5">
        <f>COUNTIF('Phase 1B'!$K$5:$K$29,"N/A")</f>
        <v/>
      </c>
      <c r="G6" s="5">
        <f>COUNTIF('Phase 1B'!$K$5:$K$29,"Not run")</f>
        <v/>
      </c>
      <c r="H6" s="5">
        <f>COUNTIFS('Phase 1B'!$E$5:$E$29,"P1")-COUNTIFS('Phase 1B'!$E$5:$E$29,"P1",'Phase 1B'!$K$5:$K$29,"Pass")-COUNTIFS('Phase 1B'!$E$5:$E$29,"P1",'Phase 1B'!$K$5:$K$29,"N/A")+COUNTIFS(Regression!$C$5:$C$10,"Phase 1A",Regression!$E$5:$E$10,"P1")-COUNTIFS(Regression!$C$5:$C$10,"Phase 1A",Regression!$E$5:$E$10,"P1",Regression!$K$5:$K$10,"Pass")-COUNTIFS(Regression!$C$5:$C$10,"Phase 1A",Regression!$E$5:$E$10,"P1",Regression!$K$5:$K$10,"N/A")</f>
        <v/>
      </c>
      <c r="I6" s="11">
        <f>IF(H6=0,"Clear to ship","Blocked — "&amp;H6&amp;" P1 outstanding")</f>
        <v/>
      </c>
    </row>
    <row r="7">
      <c r="A7" s="10" t="inlineStr">
        <is>
          <t>Phase 1C</t>
        </is>
      </c>
      <c r="B7" s="5">
        <f>COUNTA('Phase 1C'!$A$5:$A$40)</f>
        <v/>
      </c>
      <c r="C7" s="5">
        <f>COUNTIF('Phase 1C'!$K$5:$K$40,"Pass")</f>
        <v/>
      </c>
      <c r="D7" s="5">
        <f>COUNTIF('Phase 1C'!$K$5:$K$40,"Fail")</f>
        <v/>
      </c>
      <c r="E7" s="5">
        <f>COUNTIF('Phase 1C'!$K$5:$K$40,"Blocked")</f>
        <v/>
      </c>
      <c r="F7" s="5">
        <f>COUNTIF('Phase 1C'!$K$5:$K$40,"N/A")</f>
        <v/>
      </c>
      <c r="G7" s="5">
        <f>COUNTIF('Phase 1C'!$K$5:$K$40,"Not run")</f>
        <v/>
      </c>
      <c r="H7" s="5">
        <f>COUNTIFS('Phase 1C'!$E$5:$E$40,"P1")-COUNTIFS('Phase 1C'!$E$5:$E$40,"P1",'Phase 1C'!$K$5:$K$40,"Pass")-COUNTIFS('Phase 1C'!$E$5:$E$40,"P1",'Phase 1C'!$K$5:$K$40,"N/A")+COUNTIFS(Regression!$C$5:$C$10,"Phase 1A",Regression!$E$5:$E$10,"P1")-COUNTIFS(Regression!$C$5:$C$10,"Phase 1A",Regression!$E$5:$E$10,"P1",Regression!$K$5:$K$10,"Pass")-COUNTIFS(Regression!$C$5:$C$10,"Phase 1A",Regression!$E$5:$E$10,"P1",Regression!$K$5:$K$10,"N/A")+COUNTIFS(Regression!$C$5:$C$10,"Phase 1C",Regression!$E$5:$E$10,"P1")-COUNTIFS(Regression!$C$5:$C$10,"Phase 1C",Regression!$E$5:$E$10,"P1",Regression!$K$5:$K$10,"Pass")-COUNTIFS(Regression!$C$5:$C$10,"Phase 1C",Regression!$E$5:$E$10,"P1",Regression!$K$5:$K$10,"N/A")</f>
        <v/>
      </c>
      <c r="I7" s="11">
        <f>IF(H7=0,"Clear to ship","Blocked — "&amp;H7&amp;" P1 outstanding")</f>
        <v/>
      </c>
    </row>
    <row r="8">
      <c r="A8" s="10" t="inlineStr">
        <is>
          <t>Recipe coverage</t>
        </is>
      </c>
      <c r="B8" s="5">
        <f>108</f>
        <v/>
      </c>
      <c r="C8" s="5">
        <f>COUNTIF('Recipe coverage'!$E$5:$M$16,"Pass")</f>
        <v/>
      </c>
      <c r="D8" s="5">
        <f>COUNTIF('Recipe coverage'!$E$5:$M$16,"Fail")</f>
        <v/>
      </c>
      <c r="E8" s="5">
        <f>COUNTIF('Recipe coverage'!$E$5:$M$16,"Blocked")</f>
        <v/>
      </c>
      <c r="F8" s="5">
        <f>COUNTIF('Recipe coverage'!$E$5:$M$16,"N/A")</f>
        <v/>
      </c>
      <c r="G8" s="5">
        <f>COUNTIF('Recipe coverage'!$E$5:$M$16,"Not run")</f>
        <v/>
      </c>
      <c r="H8" s="5">
        <f>D8+E8+G8</f>
        <v/>
      </c>
      <c r="I8" s="11">
        <f>IF(H8=0,"Clear to ship","Blocked — "&amp;H8&amp;" checks outstanding")</f>
        <v/>
      </c>
    </row>
    <row r="9">
      <c r="A9" s="12" t="inlineStr">
        <is>
          <t>Phase 1 programme</t>
        </is>
      </c>
      <c r="B9" s="13">
        <f>SUM(B5:B8)</f>
        <v/>
      </c>
      <c r="C9" s="13">
        <f>SUM(C5:C8)</f>
        <v/>
      </c>
      <c r="D9" s="13">
        <f>SUM(D5:D8)</f>
        <v/>
      </c>
      <c r="E9" s="13">
        <f>SUM(E5:E8)</f>
        <v/>
      </c>
      <c r="F9" s="13">
        <f>SUM(F5:F8)</f>
        <v/>
      </c>
      <c r="G9" s="13">
        <f>SUM(G5:G8)</f>
        <v/>
      </c>
      <c r="H9" s="13">
        <f>SUM(H5:H8)</f>
        <v/>
      </c>
      <c r="I9" s="14">
        <f>IF(H9=0,"Entire Phase 1 clear","Blocked — "&amp;H9&amp;" P1 outstanding across the programme")</f>
        <v/>
      </c>
    </row>
    <row r="11">
      <c r="A11" s="15" t="inlineStr">
        <is>
          <t>N/A hygiene</t>
        </is>
      </c>
    </row>
    <row r="12">
      <c r="A12" s="16" t="inlineStr">
        <is>
          <t>N/A without a waiver approver</t>
        </is>
      </c>
      <c r="B12" s="17">
        <f>(COUNTIFS('Phase 1A'!$K$5:$K$58,"N/A")-COUNTIFS('Phase 1A'!$K$5:$K$58,"N/A",'Phase 1A'!$S$5:$S$58,"&lt;&gt;"))+(COUNTIFS('Phase 1B'!$K$5:$K$29,"N/A")-COUNTIFS('Phase 1B'!$K$5:$K$29,"N/A",'Phase 1B'!$S$5:$S$29,"&lt;&gt;"))+(COUNTIFS('Phase 1C'!$K$5:$K$40,"N/A")-COUNTIFS('Phase 1C'!$K$5:$K$40,"N/A",'Phase 1C'!$S$5:$S$40,"&lt;&gt;"))+(COUNTIFS('Regression'!$K$5:$K$10,"N/A")-COUNTIFS('Regression'!$K$5:$K$10,"N/A",'Regression'!$S$5:$S$10,"&lt;&gt;"))</f>
        <v/>
      </c>
    </row>
    <row r="13">
      <c r="A13" s="2" t="inlineStr">
        <is>
          <t>Every N/A must carry a reason in Notes and an approver in 'Waiver approved by'.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5" customWidth="1" min="3" max="3"/>
    <col width="56" customWidth="1" min="4" max="4"/>
    <col width="14" customWidth="1" min="5" max="5"/>
    <col width="9" customWidth="1" min="6" max="6"/>
    <col width="13" customWidth="1" min="7" max="7"/>
    <col width="13" customWidth="1" min="8" max="8"/>
    <col width="12" customWidth="1" min="9" max="9"/>
    <col width="26" customWidth="1" min="10" max="10"/>
  </cols>
  <sheetData>
    <row r="1">
      <c r="A1" s="1" t="inlineStr">
        <is>
          <t>Delivery gate — Phase 1</t>
        </is>
      </c>
    </row>
    <row r="2">
      <c r="A2" s="2" t="inlineStr">
        <is>
          <t>Extracted from §A14 of the PRD. Each release has its own gate; blocking items stop that release only.</t>
        </is>
      </c>
    </row>
    <row r="4">
      <c r="A4" s="3" t="inlineStr">
        <is>
          <t>ID</t>
        </is>
      </c>
      <c r="B4" s="3" t="inlineStr">
        <is>
          <t>Release</t>
        </is>
      </c>
      <c r="C4" s="3" t="inlineStr">
        <is>
          <t>Area</t>
        </is>
      </c>
      <c r="D4" s="3" t="inlineStr">
        <is>
          <t>Item</t>
        </is>
      </c>
      <c r="E4" s="3" t="inlineStr">
        <is>
          <t>Role</t>
        </is>
      </c>
      <c r="F4" s="3" t="inlineStr">
        <is>
          <t>Gate</t>
        </is>
      </c>
      <c r="G4" s="3" t="inlineStr">
        <is>
          <t>Owner</t>
        </is>
      </c>
      <c r="H4" s="3" t="inlineStr">
        <is>
          <t>Status</t>
        </is>
      </c>
      <c r="I4" s="3" t="inlineStr">
        <is>
          <t>Target date</t>
        </is>
      </c>
      <c r="J4" s="3" t="inlineStr">
        <is>
          <t>Evidence / link</t>
        </is>
      </c>
    </row>
    <row r="5" ht="30" customHeight="1">
      <c r="A5" s="4" t="inlineStr">
        <is>
          <t>G-01</t>
        </is>
      </c>
      <c r="B5" s="5" t="inlineStr">
        <is>
          <t>Phase 1A</t>
        </is>
      </c>
      <c r="C5" s="4" t="inlineStr">
        <is>
          <t>Decisions closed</t>
        </is>
      </c>
      <c r="D5" s="6" t="inlineStr">
        <is>
          <t>D1 — do Deals move backwards? Until this is answered, FR-24 is not committed scope.</t>
        </is>
      </c>
      <c r="E5" s="4" t="inlineStr">
        <is>
          <t>Product</t>
        </is>
      </c>
      <c r="F5" s="18" t="inlineStr">
        <is>
          <t>Blocking</t>
        </is>
      </c>
      <c r="G5" s="4" t="inlineStr"/>
      <c r="H5" s="5" t="inlineStr">
        <is>
          <t>Not started</t>
        </is>
      </c>
      <c r="I5" s="5" t="inlineStr"/>
      <c r="J5" s="6" t="inlineStr"/>
    </row>
    <row r="6" ht="30" customHeight="1">
      <c r="A6" s="7" t="inlineStr">
        <is>
          <t>G-02</t>
        </is>
      </c>
      <c r="B6" s="8" t="inlineStr">
        <is>
          <t>Phase 1A</t>
        </is>
      </c>
      <c r="C6" s="7" t="inlineStr">
        <is>
          <t>Decisions closed</t>
        </is>
      </c>
      <c r="D6" s="9" t="inlineStr">
        <is>
          <t>D2 — Zoho coexistence. Deals stay switched off for Zoho-connected organisations until agreed.</t>
        </is>
      </c>
      <c r="E6" s="7" t="inlineStr">
        <is>
          <t>Product + CTO</t>
        </is>
      </c>
      <c r="F6" s="19" t="inlineStr">
        <is>
          <t>Blocking</t>
        </is>
      </c>
      <c r="G6" s="7" t="inlineStr"/>
      <c r="H6" s="8" t="inlineStr">
        <is>
          <t>Not started</t>
        </is>
      </c>
      <c r="I6" s="8" t="inlineStr"/>
      <c r="J6" s="9" t="inlineStr"/>
    </row>
    <row r="7" ht="30" customHeight="1">
      <c r="A7" s="4" t="inlineStr">
        <is>
          <t>G-03</t>
        </is>
      </c>
      <c r="B7" s="5" t="inlineStr">
        <is>
          <t>Phase 1A</t>
        </is>
      </c>
      <c r="C7" s="4" t="inlineStr">
        <is>
          <t>Decisions closed</t>
        </is>
      </c>
      <c r="D7" s="6" t="inlineStr">
        <is>
          <t>D4 — is the CRM company the existing Trading Name, or a new record?</t>
        </is>
      </c>
      <c r="E7" s="4" t="inlineStr">
        <is>
          <t>Product + Eng</t>
        </is>
      </c>
      <c r="F7" s="18" t="inlineStr">
        <is>
          <t>Blocking</t>
        </is>
      </c>
      <c r="G7" s="4" t="inlineStr"/>
      <c r="H7" s="5" t="inlineStr">
        <is>
          <t>Not started</t>
        </is>
      </c>
      <c r="I7" s="5" t="inlineStr"/>
      <c r="J7" s="6" t="inlineStr"/>
    </row>
    <row r="8" ht="30" customHeight="1">
      <c r="A8" s="7" t="inlineStr">
        <is>
          <t>G-04</t>
        </is>
      </c>
      <c r="B8" s="8" t="inlineStr">
        <is>
          <t>Phase 1A</t>
        </is>
      </c>
      <c r="C8" s="7" t="inlineStr">
        <is>
          <t>Decisions closed</t>
        </is>
      </c>
      <c r="D8" s="9" t="inlineStr">
        <is>
          <t>D5 — do over-quota quotes and sales orders count toward a Deal stage?</t>
        </is>
      </c>
      <c r="E8" s="7" t="inlineStr">
        <is>
          <t>Product</t>
        </is>
      </c>
      <c r="F8" s="19" t="inlineStr">
        <is>
          <t>Blocking</t>
        </is>
      </c>
      <c r="G8" s="7" t="inlineStr"/>
      <c r="H8" s="8" t="inlineStr">
        <is>
          <t>Not started</t>
        </is>
      </c>
      <c r="I8" s="8" t="inlineStr"/>
      <c r="J8" s="9" t="inlineStr"/>
    </row>
    <row r="9" ht="30" customHeight="1">
      <c r="A9" s="4" t="inlineStr">
        <is>
          <t>G-05</t>
        </is>
      </c>
      <c r="B9" s="5" t="inlineStr">
        <is>
          <t>Phase 1A</t>
        </is>
      </c>
      <c r="C9" s="4" t="inlineStr">
        <is>
          <t>Decisions closed</t>
        </is>
      </c>
      <c r="D9" s="6" t="inlineStr">
        <is>
          <t>D6 — does raising a change order follow the quote review path?</t>
        </is>
      </c>
      <c r="E9" s="4" t="inlineStr">
        <is>
          <t>Product</t>
        </is>
      </c>
      <c r="F9" s="18" t="inlineStr">
        <is>
          <t>Blocking</t>
        </is>
      </c>
      <c r="G9" s="4" t="inlineStr"/>
      <c r="H9" s="5" t="inlineStr">
        <is>
          <t>Not started</t>
        </is>
      </c>
      <c r="I9" s="5" t="inlineStr"/>
      <c r="J9" s="6" t="inlineStr"/>
    </row>
    <row r="10" ht="30" customHeight="1">
      <c r="A10" s="7" t="inlineStr">
        <is>
          <t>G-06</t>
        </is>
      </c>
      <c r="B10" s="8" t="inlineStr">
        <is>
          <t>Phase 1A</t>
        </is>
      </c>
      <c r="C10" s="7" t="inlineStr">
        <is>
          <t>Decisions closed</t>
        </is>
      </c>
      <c r="D10" s="9" t="inlineStr">
        <is>
          <t>D3 — why is today's activity timeline unused? Research complete, findings applied to the design.</t>
        </is>
      </c>
      <c r="E10" s="7" t="inlineStr">
        <is>
          <t>Product + Design</t>
        </is>
      </c>
      <c r="F10" s="19" t="inlineStr">
        <is>
          <t>Blocking</t>
        </is>
      </c>
      <c r="G10" s="7" t="inlineStr"/>
      <c r="H10" s="8" t="inlineStr">
        <is>
          <t>Not started</t>
        </is>
      </c>
      <c r="I10" s="8" t="inlineStr"/>
      <c r="J10" s="9" t="inlineStr"/>
    </row>
    <row r="11" ht="30" customHeight="1">
      <c r="A11" s="4" t="inlineStr">
        <is>
          <t>G-07</t>
        </is>
      </c>
      <c r="B11" s="5" t="inlineStr">
        <is>
          <t>Phase 1A</t>
        </is>
      </c>
      <c r="C11" s="4" t="inlineStr">
        <is>
          <t>Data</t>
        </is>
      </c>
      <c r="D11" s="6" t="inlineStr">
        <is>
          <t>Quote stage history extended to record the review stages it currently cannot.</t>
        </is>
      </c>
      <c r="E11" s="4" t="inlineStr">
        <is>
          <t>Data</t>
        </is>
      </c>
      <c r="F11" s="18" t="inlineStr">
        <is>
          <t>Blocking</t>
        </is>
      </c>
      <c r="G11" s="4" t="inlineStr"/>
      <c r="H11" s="5" t="inlineStr">
        <is>
          <t>Not started</t>
        </is>
      </c>
      <c r="I11" s="5" t="inlineStr"/>
      <c r="J11" s="6" t="inlineStr"/>
    </row>
    <row r="12" ht="30" customHeight="1">
      <c r="A12" s="7" t="inlineStr">
        <is>
          <t>G-08</t>
        </is>
      </c>
      <c r="B12" s="8" t="inlineStr">
        <is>
          <t>Phase 1A</t>
        </is>
      </c>
      <c r="C12" s="7" t="inlineStr">
        <is>
          <t>Data</t>
        </is>
      </c>
      <c r="D12" s="9" t="inlineStr">
        <is>
          <t>Activity timeline carries an organisation column, filled in for existing rows.</t>
        </is>
      </c>
      <c r="E12" s="7" t="inlineStr">
        <is>
          <t>Data</t>
        </is>
      </c>
      <c r="F12" s="19" t="inlineStr">
        <is>
          <t>Blocking</t>
        </is>
      </c>
      <c r="G12" s="7" t="inlineStr"/>
      <c r="H12" s="8" t="inlineStr">
        <is>
          <t>Not started</t>
        </is>
      </c>
      <c r="I12" s="8" t="inlineStr"/>
      <c r="J12" s="9" t="inlineStr"/>
    </row>
    <row r="13" ht="30" customHeight="1">
      <c r="A13" s="4" t="inlineStr">
        <is>
          <t>G-09</t>
        </is>
      </c>
      <c r="B13" s="5" t="inlineStr">
        <is>
          <t>Phase 1A</t>
        </is>
      </c>
      <c r="C13" s="4" t="inlineStr">
        <is>
          <t>Data</t>
        </is>
      </c>
      <c r="D13" s="6" t="inlineStr">
        <is>
          <t>Owning company assigned to existing quotes that have none.</t>
        </is>
      </c>
      <c r="E13" s="4" t="inlineStr">
        <is>
          <t>Data</t>
        </is>
      </c>
      <c r="F13" s="18" t="inlineStr">
        <is>
          <t>Blocking</t>
        </is>
      </c>
      <c r="G13" s="4" t="inlineStr"/>
      <c r="H13" s="5" t="inlineStr">
        <is>
          <t>Not started</t>
        </is>
      </c>
      <c r="I13" s="5" t="inlineStr"/>
      <c r="J13" s="6" t="inlineStr"/>
    </row>
    <row r="14" ht="30" customHeight="1">
      <c r="A14" s="7" t="inlineStr">
        <is>
          <t>G-10</t>
        </is>
      </c>
      <c r="B14" s="8" t="inlineStr">
        <is>
          <t>Phase 1A</t>
        </is>
      </c>
      <c r="C14" s="7" t="inlineStr">
        <is>
          <t>Data</t>
        </is>
      </c>
      <c r="D14" s="9" t="inlineStr">
        <is>
          <t>Ruling recorded on whether Deals are created for existing quotes, or only for new work.</t>
        </is>
      </c>
      <c r="E14" s="7" t="inlineStr">
        <is>
          <t>Product + Eng</t>
        </is>
      </c>
      <c r="F14" s="19" t="inlineStr">
        <is>
          <t>Blocking</t>
        </is>
      </c>
      <c r="G14" s="7" t="inlineStr"/>
      <c r="H14" s="8" t="inlineStr">
        <is>
          <t>Not started</t>
        </is>
      </c>
      <c r="I14" s="8" t="inlineStr"/>
      <c r="J14" s="9" t="inlineStr"/>
    </row>
    <row r="15" ht="30" customHeight="1">
      <c r="A15" s="4" t="inlineStr">
        <is>
          <t>G-11</t>
        </is>
      </c>
      <c r="B15" s="5" t="inlineStr">
        <is>
          <t>Phase 1A</t>
        </is>
      </c>
      <c r="C15" s="4" t="inlineStr">
        <is>
          <t>Data</t>
        </is>
      </c>
      <c r="D15" s="6" t="inlineStr">
        <is>
          <t>Default Lead states and disqualify reasons seeded per organisation.</t>
        </is>
      </c>
      <c r="E15" s="4" t="inlineStr">
        <is>
          <t>Data</t>
        </is>
      </c>
      <c r="F15" s="5" t="inlineStr">
        <is>
          <t>Track</t>
        </is>
      </c>
      <c r="G15" s="4" t="inlineStr"/>
      <c r="H15" s="5" t="inlineStr">
        <is>
          <t>Not started</t>
        </is>
      </c>
      <c r="I15" s="5" t="inlineStr"/>
      <c r="J15" s="6" t="inlineStr"/>
    </row>
    <row r="16" ht="30" customHeight="1">
      <c r="A16" s="7" t="inlineStr">
        <is>
          <t>G-12</t>
        </is>
      </c>
      <c r="B16" s="8" t="inlineStr">
        <is>
          <t>Phase 1A</t>
        </is>
      </c>
      <c r="C16" s="7" t="inlineStr">
        <is>
          <t>Build</t>
        </is>
      </c>
      <c r="D16" s="9" t="inlineStr">
        <is>
          <t>Stage logic derives every stage; no screen lets a person set one.</t>
        </is>
      </c>
      <c r="E16" s="7" t="inlineStr">
        <is>
          <t>Engineering</t>
        </is>
      </c>
      <c r="F16" s="19" t="inlineStr">
        <is>
          <t>Blocking</t>
        </is>
      </c>
      <c r="G16" s="7" t="inlineStr"/>
      <c r="H16" s="8" t="inlineStr">
        <is>
          <t>Not started</t>
        </is>
      </c>
      <c r="I16" s="8" t="inlineStr"/>
      <c r="J16" s="9" t="inlineStr"/>
    </row>
    <row r="17" ht="30" customHeight="1">
      <c r="A17" s="4" t="inlineStr">
        <is>
          <t>G-13</t>
        </is>
      </c>
      <c r="B17" s="5" t="inlineStr">
        <is>
          <t>Phase 1A</t>
        </is>
      </c>
      <c r="C17" s="4" t="inlineStr">
        <is>
          <t>Build</t>
        </is>
      </c>
      <c r="D17" s="6" t="inlineStr">
        <is>
          <t>Phase 1A creates no note, task, file request or notification unprompted (FR-41).</t>
        </is>
      </c>
      <c r="E17" s="4" t="inlineStr">
        <is>
          <t>Engineering</t>
        </is>
      </c>
      <c r="F17" s="18" t="inlineStr">
        <is>
          <t>Blocking</t>
        </is>
      </c>
      <c r="G17" s="4" t="inlineStr"/>
      <c r="H17" s="5" t="inlineStr">
        <is>
          <t>Not started</t>
        </is>
      </c>
      <c r="I17" s="5" t="inlineStr"/>
      <c r="J17" s="6" t="inlineStr"/>
    </row>
    <row r="18" ht="30" customHeight="1">
      <c r="A18" s="7" t="inlineStr">
        <is>
          <t>G-14</t>
        </is>
      </c>
      <c r="B18" s="8" t="inlineStr">
        <is>
          <t>Phase 1A</t>
        </is>
      </c>
      <c r="C18" s="7" t="inlineStr">
        <is>
          <t>Build</t>
        </is>
      </c>
      <c r="D18" s="9" t="inlineStr">
        <is>
          <t>Company-level visibility shipped as a real permission tier, not a filter.</t>
        </is>
      </c>
      <c r="E18" s="7" t="inlineStr">
        <is>
          <t>Engineering</t>
        </is>
      </c>
      <c r="F18" s="19" t="inlineStr">
        <is>
          <t>Blocking</t>
        </is>
      </c>
      <c r="G18" s="7" t="inlineStr"/>
      <c r="H18" s="8" t="inlineStr">
        <is>
          <t>Not started</t>
        </is>
      </c>
      <c r="I18" s="8" t="inlineStr"/>
      <c r="J18" s="9" t="inlineStr"/>
    </row>
    <row r="19" ht="30" customHeight="1">
      <c r="A19" s="4" t="inlineStr">
        <is>
          <t>G-15</t>
        </is>
      </c>
      <c r="B19" s="5" t="inlineStr">
        <is>
          <t>Phase 1A</t>
        </is>
      </c>
      <c r="C19" s="4" t="inlineStr">
        <is>
          <t>Build</t>
        </is>
      </c>
      <c r="D19" s="6" t="inlineStr">
        <is>
          <t>Account is established and checked when an event arrives, not from a signed-in session.</t>
        </is>
      </c>
      <c r="E19" s="4" t="inlineStr">
        <is>
          <t>Engineering</t>
        </is>
      </c>
      <c r="F19" s="18" t="inlineStr">
        <is>
          <t>Blocking</t>
        </is>
      </c>
      <c r="G19" s="4" t="inlineStr"/>
      <c r="H19" s="5" t="inlineStr">
        <is>
          <t>Not started</t>
        </is>
      </c>
      <c r="I19" s="5" t="inlineStr"/>
      <c r="J19" s="6" t="inlineStr"/>
    </row>
    <row r="20" ht="30" customHeight="1">
      <c r="A20" s="7" t="inlineStr">
        <is>
          <t>G-16</t>
        </is>
      </c>
      <c r="B20" s="8" t="inlineStr">
        <is>
          <t>Phase 1A</t>
        </is>
      </c>
      <c r="C20" s="7" t="inlineStr">
        <is>
          <t>Build</t>
        </is>
      </c>
      <c r="D20" s="9" t="inlineStr">
        <is>
          <t>Alternative groups, change orders, signed value and the four margin figures all present.</t>
        </is>
      </c>
      <c r="E20" s="7" t="inlineStr">
        <is>
          <t>Engineering</t>
        </is>
      </c>
      <c r="F20" s="19" t="inlineStr">
        <is>
          <t>Blocking</t>
        </is>
      </c>
      <c r="G20" s="7" t="inlineStr"/>
      <c r="H20" s="8" t="inlineStr">
        <is>
          <t>Not started</t>
        </is>
      </c>
      <c r="I20" s="8" t="inlineStr"/>
      <c r="J20" s="9" t="inlineStr"/>
    </row>
    <row r="21" ht="30" customHeight="1">
      <c r="A21" s="4" t="inlineStr">
        <is>
          <t>G-17</t>
        </is>
      </c>
      <c r="B21" s="5" t="inlineStr">
        <is>
          <t>Phase 1A</t>
        </is>
      </c>
      <c r="C21" s="4" t="inlineStr">
        <is>
          <t>Tests</t>
        </is>
      </c>
      <c r="D21" s="6" t="inlineStr">
        <is>
          <t>All eight precedence rules, each proven in isolation.</t>
        </is>
      </c>
      <c r="E21" s="4" t="inlineStr">
        <is>
          <t>QA</t>
        </is>
      </c>
      <c r="F21" s="18" t="inlineStr">
        <is>
          <t>Blocking</t>
        </is>
      </c>
      <c r="G21" s="4" t="inlineStr"/>
      <c r="H21" s="5" t="inlineStr">
        <is>
          <t>Not started</t>
        </is>
      </c>
      <c r="I21" s="5" t="inlineStr"/>
      <c r="J21" s="6" t="inlineStr"/>
    </row>
    <row r="22" ht="30" customHeight="1">
      <c r="A22" s="7" t="inlineStr">
        <is>
          <t>G-18</t>
        </is>
      </c>
      <c r="B22" s="8" t="inlineStr">
        <is>
          <t>Phase 1A</t>
        </is>
      </c>
      <c r="C22" s="7" t="inlineStr">
        <is>
          <t>Tests</t>
        </is>
      </c>
      <c r="D22" s="9" t="inlineStr">
        <is>
          <t>Each of the seven quote-inclusion clauses proven to exclude.</t>
        </is>
      </c>
      <c r="E22" s="7" t="inlineStr">
        <is>
          <t>QA</t>
        </is>
      </c>
      <c r="F22" s="19" t="inlineStr">
        <is>
          <t>Blocking</t>
        </is>
      </c>
      <c r="G22" s="7" t="inlineStr"/>
      <c r="H22" s="8" t="inlineStr">
        <is>
          <t>Not started</t>
        </is>
      </c>
      <c r="I22" s="8" t="inlineStr"/>
      <c r="J22" s="9" t="inlineStr"/>
    </row>
    <row r="23" ht="30" customHeight="1">
      <c r="A23" s="4" t="inlineStr">
        <is>
          <t>G-19</t>
        </is>
      </c>
      <c r="B23" s="5" t="inlineStr">
        <is>
          <t>Phase 1A</t>
        </is>
      </c>
      <c r="C23" s="4" t="inlineStr">
        <is>
          <t>Tests</t>
        </is>
      </c>
      <c r="D23" s="6" t="inlineStr">
        <is>
          <t>Both revision flags tested in all four combinations.</t>
        </is>
      </c>
      <c r="E23" s="4" t="inlineStr">
        <is>
          <t>QA</t>
        </is>
      </c>
      <c r="F23" s="18" t="inlineStr">
        <is>
          <t>Blocking</t>
        </is>
      </c>
      <c r="G23" s="4" t="inlineStr"/>
      <c r="H23" s="5" t="inlineStr">
        <is>
          <t>Not started</t>
        </is>
      </c>
      <c r="I23" s="5" t="inlineStr"/>
      <c r="J23" s="6" t="inlineStr"/>
    </row>
    <row r="24" ht="30" customHeight="1">
      <c r="A24" s="7" t="inlineStr">
        <is>
          <t>G-20</t>
        </is>
      </c>
      <c r="B24" s="8" t="inlineStr">
        <is>
          <t>Phase 1A</t>
        </is>
      </c>
      <c r="C24" s="7" t="inlineStr">
        <is>
          <t>Tests</t>
        </is>
      </c>
      <c r="D24" s="9" t="inlineStr">
        <is>
          <t>An event carrying another account's identifiers is rejected.</t>
        </is>
      </c>
      <c r="E24" s="7" t="inlineStr">
        <is>
          <t>QA</t>
        </is>
      </c>
      <c r="F24" s="19" t="inlineStr">
        <is>
          <t>Blocking</t>
        </is>
      </c>
      <c r="G24" s="7" t="inlineStr"/>
      <c r="H24" s="8" t="inlineStr">
        <is>
          <t>Not started</t>
        </is>
      </c>
      <c r="I24" s="8" t="inlineStr"/>
      <c r="J24" s="9" t="inlineStr"/>
    </row>
    <row r="25" ht="30" customHeight="1">
      <c r="A25" s="4" t="inlineStr">
        <is>
          <t>G-21</t>
        </is>
      </c>
      <c r="B25" s="5" t="inlineStr">
        <is>
          <t>Phase 1A</t>
        </is>
      </c>
      <c r="C25" s="4" t="inlineStr">
        <is>
          <t>Flags</t>
        </is>
      </c>
      <c r="D25" s="6" t="inlineStr">
        <is>
          <t>Site Ready custom stage hidden until Phase 2.</t>
        </is>
      </c>
      <c r="E25" s="4" t="inlineStr">
        <is>
          <t>Engineering</t>
        </is>
      </c>
      <c r="F25" s="18" t="inlineStr">
        <is>
          <t>Blocking</t>
        </is>
      </c>
      <c r="G25" s="4" t="inlineStr"/>
      <c r="H25" s="5" t="inlineStr">
        <is>
          <t>Not started</t>
        </is>
      </c>
      <c r="I25" s="5" t="inlineStr"/>
      <c r="J25" s="6" t="inlineStr"/>
    </row>
    <row r="26" ht="30" customHeight="1">
      <c r="A26" s="7" t="inlineStr">
        <is>
          <t>G-22</t>
        </is>
      </c>
      <c r="B26" s="8" t="inlineStr">
        <is>
          <t>Phase 1A</t>
        </is>
      </c>
      <c r="C26" s="7" t="inlineStr">
        <is>
          <t>Flags</t>
        </is>
      </c>
      <c r="D26" s="9" t="inlineStr">
        <is>
          <t>Commit Forecast and Stage-weighted views hidden until Phase 2.</t>
        </is>
      </c>
      <c r="E26" s="7" t="inlineStr">
        <is>
          <t>Engineering</t>
        </is>
      </c>
      <c r="F26" s="19" t="inlineStr">
        <is>
          <t>Blocking</t>
        </is>
      </c>
      <c r="G26" s="7" t="inlineStr"/>
      <c r="H26" s="8" t="inlineStr">
        <is>
          <t>Not started</t>
        </is>
      </c>
      <c r="I26" s="8" t="inlineStr"/>
      <c r="J26" s="9" t="inlineStr"/>
    </row>
    <row r="27" ht="30" customHeight="1">
      <c r="A27" s="4" t="inlineStr">
        <is>
          <t>G-23</t>
        </is>
      </c>
      <c r="B27" s="5" t="inlineStr">
        <is>
          <t>Phase 1A</t>
        </is>
      </c>
      <c r="C27" s="4" t="inlineStr">
        <is>
          <t>Handoff</t>
        </is>
      </c>
      <c r="D27" s="6" t="inlineStr">
        <is>
          <t>Conflict register (§C1) signed off, every row resolved or explicitly deferred.</t>
        </is>
      </c>
      <c r="E27" s="4" t="inlineStr">
        <is>
          <t>Product</t>
        </is>
      </c>
      <c r="F27" s="18" t="inlineStr">
        <is>
          <t>Blocking</t>
        </is>
      </c>
      <c r="G27" s="4" t="inlineStr"/>
      <c r="H27" s="5" t="inlineStr">
        <is>
          <t>Not started</t>
        </is>
      </c>
      <c r="I27" s="5" t="inlineStr"/>
      <c r="J27" s="6" t="inlineStr"/>
    </row>
    <row r="28" ht="30" customHeight="1">
      <c r="A28" s="7" t="inlineStr">
        <is>
          <t>G-24</t>
        </is>
      </c>
      <c r="B28" s="8" t="inlineStr">
        <is>
          <t>Phase 1A</t>
        </is>
      </c>
      <c r="C28" s="7" t="inlineStr">
        <is>
          <t>Handoff</t>
        </is>
      </c>
      <c r="D28" s="9" t="inlineStr">
        <is>
          <t>Margin definition written down: what each of the four figures includes.</t>
        </is>
      </c>
      <c r="E28" s="7" t="inlineStr">
        <is>
          <t>Product</t>
        </is>
      </c>
      <c r="F28" s="8" t="inlineStr">
        <is>
          <t>Track</t>
        </is>
      </c>
      <c r="G28" s="7" t="inlineStr"/>
      <c r="H28" s="8" t="inlineStr">
        <is>
          <t>Not started</t>
        </is>
      </c>
      <c r="I28" s="8" t="inlineStr"/>
      <c r="J28" s="9" t="inlineStr"/>
    </row>
    <row r="29" ht="30" customHeight="1">
      <c r="A29" s="4" t="inlineStr">
        <is>
          <t>G-25</t>
        </is>
      </c>
      <c r="B29" s="5" t="inlineStr">
        <is>
          <t>Phase 1B</t>
        </is>
      </c>
      <c r="C29" s="4" t="inlineStr">
        <is>
          <t>Decisions</t>
        </is>
      </c>
      <c r="D29" s="6" t="inlineStr">
        <is>
          <t>D7 — whose approval threshold applies on a high-value quote.</t>
        </is>
      </c>
      <c r="E29" s="4" t="inlineStr">
        <is>
          <t>Product</t>
        </is>
      </c>
      <c r="F29" s="18" t="inlineStr">
        <is>
          <t>Blocking</t>
        </is>
      </c>
      <c r="G29" s="4" t="inlineStr"/>
      <c r="H29" s="5" t="inlineStr">
        <is>
          <t>Not started</t>
        </is>
      </c>
      <c r="I29" s="5" t="inlineStr"/>
      <c r="J29" s="6" t="inlineStr"/>
    </row>
    <row r="30" ht="30" customHeight="1">
      <c r="A30" s="7" t="inlineStr">
        <is>
          <t>G-26</t>
        </is>
      </c>
      <c r="B30" s="8" t="inlineStr">
        <is>
          <t>Phase 1B</t>
        </is>
      </c>
      <c r="C30" s="7" t="inlineStr">
        <is>
          <t>Build</t>
        </is>
      </c>
      <c r="D30" s="9" t="inlineStr">
        <is>
          <t>One shared description of a flow, with versions stored server-side. Browser storage does not satisfy this.</t>
        </is>
      </c>
      <c r="E30" s="7" t="inlineStr">
        <is>
          <t>Engineering</t>
        </is>
      </c>
      <c r="F30" s="19" t="inlineStr">
        <is>
          <t>Blocking</t>
        </is>
      </c>
      <c r="G30" s="7" t="inlineStr"/>
      <c r="H30" s="8" t="inlineStr">
        <is>
          <t>Not started</t>
        </is>
      </c>
      <c r="I30" s="8" t="inlineStr"/>
      <c r="J30" s="9" t="inlineStr"/>
    </row>
    <row r="31" ht="30" customHeight="1">
      <c r="A31" s="4" t="inlineStr">
        <is>
          <t>G-27</t>
        </is>
      </c>
      <c r="B31" s="5" t="inlineStr">
        <is>
          <t>Phase 1B</t>
        </is>
      </c>
      <c r="C31" s="4" t="inlineStr">
        <is>
          <t>Build</t>
        </is>
      </c>
      <c r="D31" s="6" t="inlineStr">
        <is>
          <t>Recipe settings can be changed without opening the canvas.</t>
        </is>
      </c>
      <c r="E31" s="4" t="inlineStr">
        <is>
          <t>Engineering</t>
        </is>
      </c>
      <c r="F31" s="18" t="inlineStr">
        <is>
          <t>Blocking</t>
        </is>
      </c>
      <c r="G31" s="4" t="inlineStr"/>
      <c r="H31" s="5" t="inlineStr">
        <is>
          <t>Not started</t>
        </is>
      </c>
      <c r="I31" s="5" t="inlineStr"/>
      <c r="J31" s="6" t="inlineStr"/>
    </row>
    <row r="32" ht="30" customHeight="1">
      <c r="A32" s="7" t="inlineStr">
        <is>
          <t>G-28</t>
        </is>
      </c>
      <c r="B32" s="8" t="inlineStr">
        <is>
          <t>Phase 1B</t>
        </is>
      </c>
      <c r="C32" s="7" t="inlineStr">
        <is>
          <t>Build</t>
        </is>
      </c>
      <c r="D32" s="9" t="inlineStr">
        <is>
          <t>Every recipe carries a company scope, visible everywhere it is listed.</t>
        </is>
      </c>
      <c r="E32" s="7" t="inlineStr">
        <is>
          <t>Engineering</t>
        </is>
      </c>
      <c r="F32" s="19" t="inlineStr">
        <is>
          <t>Blocking</t>
        </is>
      </c>
      <c r="G32" s="7" t="inlineStr"/>
      <c r="H32" s="8" t="inlineStr">
        <is>
          <t>Not started</t>
        </is>
      </c>
      <c r="I32" s="8" t="inlineStr"/>
      <c r="J32" s="9" t="inlineStr"/>
    </row>
    <row r="33" ht="30" customHeight="1">
      <c r="A33" s="4" t="inlineStr">
        <is>
          <t>G-29</t>
        </is>
      </c>
      <c r="B33" s="5" t="inlineStr">
        <is>
          <t>Phase 1B</t>
        </is>
      </c>
      <c r="C33" s="4" t="inlineStr">
        <is>
          <t>Build</t>
        </is>
      </c>
      <c r="D33" s="6" t="inlineStr">
        <is>
          <t>Timed recipes have a real work queue: persistence, worker, working days, timezone, cancellation when a record leaves the stage.</t>
        </is>
      </c>
      <c r="E33" s="4" t="inlineStr">
        <is>
          <t>Engineering</t>
        </is>
      </c>
      <c r="F33" s="18" t="inlineStr">
        <is>
          <t>Blocking</t>
        </is>
      </c>
      <c r="G33" s="4" t="inlineStr"/>
      <c r="H33" s="5" t="inlineStr">
        <is>
          <t>Not started</t>
        </is>
      </c>
      <c r="I33" s="5" t="inlineStr"/>
      <c r="J33" s="6" t="inlineStr"/>
    </row>
    <row r="34" ht="30" customHeight="1">
      <c r="A34" s="7" t="inlineStr">
        <is>
          <t>G-30</t>
        </is>
      </c>
      <c r="B34" s="8" t="inlineStr">
        <is>
          <t>Phase 1B</t>
        </is>
      </c>
      <c r="C34" s="7" t="inlineStr">
        <is>
          <t>Tests</t>
        </is>
      </c>
      <c r="D34" s="9" t="inlineStr">
        <is>
          <t>Replaying the same event creates nothing twice, for every action type.</t>
        </is>
      </c>
      <c r="E34" s="7" t="inlineStr">
        <is>
          <t>QA</t>
        </is>
      </c>
      <c r="F34" s="19" t="inlineStr">
        <is>
          <t>Blocking</t>
        </is>
      </c>
      <c r="G34" s="7" t="inlineStr"/>
      <c r="H34" s="8" t="inlineStr">
        <is>
          <t>Not started</t>
        </is>
      </c>
      <c r="I34" s="8" t="inlineStr"/>
      <c r="J34" s="9" t="inlineStr"/>
    </row>
    <row r="35" ht="30" customHeight="1">
      <c r="A35" s="4" t="inlineStr">
        <is>
          <t>G-31</t>
        </is>
      </c>
      <c r="B35" s="5" t="inlineStr">
        <is>
          <t>Phase 1B</t>
        </is>
      </c>
      <c r="C35" s="4" t="inlineStr">
        <is>
          <t>Tests</t>
        </is>
      </c>
      <c r="D35" s="6" t="inlineStr">
        <is>
          <t>Work already in flight finishes on the version it started with.</t>
        </is>
      </c>
      <c r="E35" s="4" t="inlineStr">
        <is>
          <t>QA</t>
        </is>
      </c>
      <c r="F35" s="18" t="inlineStr">
        <is>
          <t>Blocking</t>
        </is>
      </c>
      <c r="G35" s="4" t="inlineStr"/>
      <c r="H35" s="5" t="inlineStr">
        <is>
          <t>Not started</t>
        </is>
      </c>
      <c r="I35" s="5" t="inlineStr"/>
      <c r="J35" s="6" t="inlineStr"/>
    </row>
    <row r="36" ht="30" customHeight="1">
      <c r="A36" s="7" t="inlineStr">
        <is>
          <t>G-32</t>
        </is>
      </c>
      <c r="B36" s="8" t="inlineStr">
        <is>
          <t>Phase 1B</t>
        </is>
      </c>
      <c r="C36" s="7" t="inlineStr">
        <is>
          <t>Tests</t>
        </is>
      </c>
      <c r="D36" s="9" t="inlineStr">
        <is>
          <t>Only one change order can be open per quote.</t>
        </is>
      </c>
      <c r="E36" s="7" t="inlineStr">
        <is>
          <t>QA</t>
        </is>
      </c>
      <c r="F36" s="19" t="inlineStr">
        <is>
          <t>Blocking</t>
        </is>
      </c>
      <c r="G36" s="7" t="inlineStr"/>
      <c r="H36" s="8" t="inlineStr">
        <is>
          <t>Not started</t>
        </is>
      </c>
      <c r="I36" s="8" t="inlineStr"/>
      <c r="J36" s="9" t="inlineStr"/>
    </row>
    <row r="37" ht="30" customHeight="1">
      <c r="A37" s="4" t="inlineStr">
        <is>
          <t>G-33</t>
        </is>
      </c>
      <c r="B37" s="5" t="inlineStr">
        <is>
          <t>Phase 1B</t>
        </is>
      </c>
      <c r="C37" s="4" t="inlineStr">
        <is>
          <t>Handoff</t>
        </is>
      </c>
      <c r="D37" s="6" t="inlineStr">
        <is>
          <t>All twelve recipes are defined and configurable. A timed recipe cannot be switched on until the production work queue exists.</t>
        </is>
      </c>
      <c r="E37" s="4" t="inlineStr">
        <is>
          <t>Product</t>
        </is>
      </c>
      <c r="F37" s="18" t="inlineStr">
        <is>
          <t>Blocking</t>
        </is>
      </c>
      <c r="G37" s="4" t="inlineStr"/>
      <c r="H37" s="5" t="inlineStr">
        <is>
          <t>Not started</t>
        </is>
      </c>
      <c r="I37" s="5" t="inlineStr"/>
      <c r="J37" s="6" t="inlineStr"/>
    </row>
    <row r="38" ht="30" customHeight="1">
      <c r="A38" s="7" t="inlineStr">
        <is>
          <t>G-34</t>
        </is>
      </c>
      <c r="B38" s="8" t="inlineStr">
        <is>
          <t>Phase 1B</t>
        </is>
      </c>
      <c r="C38" s="7" t="inlineStr">
        <is>
          <t>Handoff</t>
        </is>
      </c>
      <c r="D38" s="9" t="inlineStr">
        <is>
          <t>Event-driven recipes ship first. Timed recipes stay unavailable, not merely inactive, until the queue lands.</t>
        </is>
      </c>
      <c r="E38" s="7" t="inlineStr">
        <is>
          <t>Engineering</t>
        </is>
      </c>
      <c r="F38" s="8" t="inlineStr">
        <is>
          <t>Track</t>
        </is>
      </c>
      <c r="G38" s="7" t="inlineStr"/>
      <c r="H38" s="8" t="inlineStr">
        <is>
          <t>Not started</t>
        </is>
      </c>
      <c r="I38" s="8" t="inlineStr"/>
      <c r="J38" s="9" t="inlineStr"/>
    </row>
    <row r="39" ht="30" customHeight="1">
      <c r="A39" s="4" t="inlineStr">
        <is>
          <t>G-35</t>
        </is>
      </c>
      <c r="B39" s="5" t="inlineStr">
        <is>
          <t>Phase 1C</t>
        </is>
      </c>
      <c r="C39" s="4" t="inlineStr">
        <is>
          <t>Build</t>
        </is>
      </c>
      <c r="D39" s="6" t="inlineStr">
        <is>
          <t>The block list is built from one shared source. No per-stage hard-coded lists, and placement never used as a permission key (FR-33).</t>
        </is>
      </c>
      <c r="E39" s="4" t="inlineStr">
        <is>
          <t>Engineering</t>
        </is>
      </c>
      <c r="F39" s="18" t="inlineStr">
        <is>
          <t>Blocking</t>
        </is>
      </c>
      <c r="G39" s="4" t="inlineStr"/>
      <c r="H39" s="5" t="inlineStr">
        <is>
          <t>Not started</t>
        </is>
      </c>
      <c r="I39" s="5" t="inlineStr"/>
      <c r="J39" s="6" t="inlineStr"/>
    </row>
    <row r="40" ht="30" customHeight="1">
      <c r="A40" s="7" t="inlineStr">
        <is>
          <t>G-36</t>
        </is>
      </c>
      <c r="B40" s="8" t="inlineStr">
        <is>
          <t>Phase 1C</t>
        </is>
      </c>
      <c r="C40" s="7" t="inlineStr">
        <is>
          <t>Build</t>
        </is>
      </c>
      <c r="D40" s="9" t="inlineStr">
        <is>
          <t>Draft, optional test and publish, with publishing blocked only by a real conflict.</t>
        </is>
      </c>
      <c r="E40" s="7" t="inlineStr">
        <is>
          <t>Engineering</t>
        </is>
      </c>
      <c r="F40" s="19" t="inlineStr">
        <is>
          <t>Blocking</t>
        </is>
      </c>
      <c r="G40" s="7" t="inlineStr"/>
      <c r="H40" s="8" t="inlineStr">
        <is>
          <t>Not started</t>
        </is>
      </c>
      <c r="I40" s="8" t="inlineStr"/>
      <c r="J40" s="9" t="inlineStr"/>
    </row>
    <row r="41" ht="30" customHeight="1">
      <c r="A41" s="4" t="inlineStr">
        <is>
          <t>G-37</t>
        </is>
      </c>
      <c r="B41" s="5" t="inlineStr">
        <is>
          <t>Phase 1C</t>
        </is>
      </c>
      <c r="C41" s="4" t="inlineStr">
        <is>
          <t>Build</t>
        </is>
      </c>
      <c r="D41" s="6" t="inlineStr">
        <is>
          <t>Required-work gate collects every outstanding item and resumes the exact original action.</t>
        </is>
      </c>
      <c r="E41" s="4" t="inlineStr">
        <is>
          <t>Engineering</t>
        </is>
      </c>
      <c r="F41" s="18" t="inlineStr">
        <is>
          <t>Blocking</t>
        </is>
      </c>
      <c r="G41" s="4" t="inlineStr"/>
      <c r="H41" s="5" t="inlineStr">
        <is>
          <t>Not started</t>
        </is>
      </c>
      <c r="I41" s="5" t="inlineStr"/>
      <c r="J41" s="6" t="inlineStr"/>
    </row>
    <row r="42" ht="30" customHeight="1">
      <c r="A42" s="7" t="inlineStr">
        <is>
          <t>G-38</t>
        </is>
      </c>
      <c r="B42" s="8" t="inlineStr">
        <is>
          <t>Phase 1C</t>
        </is>
      </c>
      <c r="C42" s="7" t="inlineStr">
        <is>
          <t>Tests</t>
        </is>
      </c>
      <c r="D42" s="9" t="inlineStr">
        <is>
          <t>The shared core block list is identical in all seven protected stages. Stage-specific quote events and rules appear only where they can genuinely occur.</t>
        </is>
      </c>
      <c r="E42" s="7" t="inlineStr">
        <is>
          <t>QA</t>
        </is>
      </c>
      <c r="F42" s="19" t="inlineStr">
        <is>
          <t>Blocking</t>
        </is>
      </c>
      <c r="G42" s="7" t="inlineStr"/>
      <c r="H42" s="8" t="inlineStr">
        <is>
          <t>Not started</t>
        </is>
      </c>
      <c r="I42" s="8" t="inlineStr"/>
      <c r="J42" s="9" t="inlineStr"/>
    </row>
    <row r="43" ht="30" customHeight="1">
      <c r="A43" s="4" t="inlineStr">
        <is>
          <t>G-39</t>
        </is>
      </c>
      <c r="B43" s="5" t="inlineStr">
        <is>
          <t>Phase 1C</t>
        </is>
      </c>
      <c r="C43" s="4" t="inlineStr">
        <is>
          <t>Tests</t>
        </is>
      </c>
      <c r="D43" s="6" t="inlineStr">
        <is>
          <t>A draft or test never changes the live version.</t>
        </is>
      </c>
      <c r="E43" s="4" t="inlineStr">
        <is>
          <t>QA</t>
        </is>
      </c>
      <c r="F43" s="18" t="inlineStr">
        <is>
          <t>Blocking</t>
        </is>
      </c>
      <c r="G43" s="4" t="inlineStr"/>
      <c r="H43" s="5" t="inlineStr">
        <is>
          <t>Not started</t>
        </is>
      </c>
      <c r="I43" s="5" t="inlineStr"/>
      <c r="J43" s="6" t="inlineStr"/>
    </row>
    <row r="44" ht="30" customHeight="1">
      <c r="A44" s="7" t="inlineStr">
        <is>
          <t>G-40</t>
        </is>
      </c>
      <c r="B44" s="8" t="inlineStr">
        <is>
          <t>Phase 1C</t>
        </is>
      </c>
      <c r="C44" s="7" t="inlineStr">
        <is>
          <t>Handoff</t>
        </is>
      </c>
      <c r="D44" s="9" t="inlineStr">
        <is>
          <t>"Open as an editable copy" documented as one-way, with no promise of returning to the simple form.</t>
        </is>
      </c>
      <c r="E44" s="7" t="inlineStr">
        <is>
          <t>Design</t>
        </is>
      </c>
      <c r="F44" s="8" t="inlineStr">
        <is>
          <t>Track</t>
        </is>
      </c>
      <c r="G44" s="7" t="inlineStr"/>
      <c r="H44" s="8" t="inlineStr">
        <is>
          <t>Not started</t>
        </is>
      </c>
      <c r="I44" s="8" t="inlineStr"/>
      <c r="J44" s="9" t="inlineStr"/>
    </row>
    <row r="46">
      <c r="A46" s="15" t="inlineStr">
        <is>
          <t>Gate by release</t>
        </is>
      </c>
    </row>
    <row r="47">
      <c r="A47" s="20" t="inlineStr">
        <is>
          <t>Release</t>
        </is>
      </c>
      <c r="B47" s="20" t="inlineStr">
        <is>
          <t>Total</t>
        </is>
      </c>
      <c r="C47" s="20" t="inlineStr">
        <is>
          <t>Done</t>
        </is>
      </c>
      <c r="D47" s="20" t="inlineStr">
        <is>
          <t>Blocking outstanding</t>
        </is>
      </c>
      <c r="E47" s="20" t="inlineStr">
        <is>
          <t>Verdict</t>
        </is>
      </c>
    </row>
    <row r="48">
      <c r="A48" s="10" t="inlineStr">
        <is>
          <t>Phase 1A</t>
        </is>
      </c>
      <c r="B48" s="5">
        <f>COUNTIF($B$5:$B$44,"Phase 1A")</f>
        <v/>
      </c>
      <c r="C48" s="5">
        <f>COUNTIFS($B$5:$B$44,"Phase 1A",$H$5:$H$44,"Done")</f>
        <v/>
      </c>
      <c r="D48" s="5">
        <f>COUNTIFS($B$5:$B$44,"Phase 1A",$F$5:$F$44,"Blocking")-COUNTIFS($B$5:$B$44,"Phase 1A",$F$5:$F$44,"Blocking",$H$5:$H$44,"Done")</f>
        <v/>
      </c>
      <c r="E48" s="11">
        <f>IF(D48=0,"Gate clear","Blocked — "&amp;D48&amp;" outstanding")</f>
        <v/>
      </c>
    </row>
    <row r="49">
      <c r="A49" s="10" t="inlineStr">
        <is>
          <t>Phase 1B</t>
        </is>
      </c>
      <c r="B49" s="5">
        <f>COUNTIF($B$5:$B$44,"Phase 1B")</f>
        <v/>
      </c>
      <c r="C49" s="5">
        <f>COUNTIFS($B$5:$B$44,"Phase 1B",$H$5:$H$44,"Done")</f>
        <v/>
      </c>
      <c r="D49" s="5">
        <f>COUNTIFS($B$5:$B$44,"Phase 1B",$F$5:$F$44,"Blocking")-COUNTIFS($B$5:$B$44,"Phase 1B",$F$5:$F$44,"Blocking",$H$5:$H$44,"Done")</f>
        <v/>
      </c>
      <c r="E49" s="11">
        <f>IF(D49=0,"Gate clear","Blocked — "&amp;D49&amp;" outstanding")</f>
        <v/>
      </c>
    </row>
    <row r="50">
      <c r="A50" s="10" t="inlineStr">
        <is>
          <t>Phase 1C</t>
        </is>
      </c>
      <c r="B50" s="5">
        <f>COUNTIF($B$5:$B$44,"Phase 1C")</f>
        <v/>
      </c>
      <c r="C50" s="5">
        <f>COUNTIFS($B$5:$B$44,"Phase 1C",$H$5:$H$44,"Done")</f>
        <v/>
      </c>
      <c r="D50" s="5">
        <f>COUNTIFS($B$5:$B$44,"Phase 1C",$F$5:$F$44,"Blocking")-COUNTIFS($B$5:$B$44,"Phase 1C",$F$5:$F$44,"Blocking",$H$5:$H$44,"Done")</f>
        <v/>
      </c>
      <c r="E50" s="11">
        <f>IF(D50=0,"Gate clear","Blocked — "&amp;D50&amp;" outstanding")</f>
        <v/>
      </c>
    </row>
    <row r="51">
      <c r="A51" s="15" t="inlineStr">
        <is>
          <t>Rows missing Owner or Target date</t>
        </is>
      </c>
      <c r="B51" s="17">
        <f>COUNTIF($G$5:$G$44,"")+COUNTIF($I$5:$I$44,"")</f>
        <v/>
      </c>
    </row>
    <row r="52">
      <c r="A52" s="2" t="inlineStr">
        <is>
          <t>Every gate row needs a named owner and a target date before the release is planned.</t>
        </is>
      </c>
    </row>
  </sheetData>
  <autoFilter ref="A4:J44"/>
  <conditionalFormatting sqref="H5:H44">
    <cfRule type="cellIs" priority="1" operator="equal" dxfId="0">
      <formula>"Done"</formula>
    </cfRule>
    <cfRule type="cellIs" priority="2" operator="equal" dxfId="5">
      <formula>"Blocked"</formula>
    </cfRule>
    <cfRule type="cellIs" priority="3" operator="equal" dxfId="6">
      <formula>"In progress"</formula>
    </cfRule>
    <cfRule type="cellIs" priority="4" operator="equal" dxfId="4">
      <formula>"Not started"</formula>
    </cfRule>
  </conditionalFormatting>
  <dataValidations count="1">
    <dataValidation sqref="H5:H44" showDropDown="0" showInputMessage="0" showErrorMessage="0" allowBlank="0" type="list">
      <formula1>"Not started,In progress,Done,Blocked,N/A"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20" customWidth="1" min="3" max="3"/>
    <col width="22" customWidth="1" min="4" max="4"/>
    <col width="12" customWidth="1" min="5" max="5"/>
    <col width="10" customWidth="1" min="6" max="6"/>
    <col width="15" customWidth="1" min="7" max="7"/>
    <col width="12" customWidth="1" min="8" max="8"/>
    <col width="13" customWidth="1" min="9" max="9"/>
    <col width="46" customWidth="1" min="10" max="10"/>
  </cols>
  <sheetData>
    <row r="1">
      <c r="A1" s="1" t="inlineStr">
        <is>
          <t>Traceability — locked rule to evidence</t>
        </is>
      </c>
    </row>
    <row r="2">
      <c r="A2" s="2" t="inlineStr">
        <is>
          <t>One row per link. Status is live: it reads the QA case's own result. A rule is only proven when every linked case passes.</t>
        </is>
      </c>
    </row>
    <row r="4">
      <c r="A4" s="3" t="inlineStr">
        <is>
          <t>Rule</t>
        </is>
      </c>
      <c r="B4" s="3" t="inlineStr">
        <is>
          <t>Statement</t>
        </is>
      </c>
      <c r="C4" s="3" t="inlineStr">
        <is>
          <t>Requirement</t>
        </is>
      </c>
      <c r="D4" s="3" t="inlineStr">
        <is>
          <t>Acceptance criterion</t>
        </is>
      </c>
      <c r="E4" s="3" t="inlineStr">
        <is>
          <t>QA sheet</t>
        </is>
      </c>
      <c r="F4" s="3" t="inlineStr">
        <is>
          <t>QA case</t>
        </is>
      </c>
      <c r="G4" s="3" t="inlineStr">
        <is>
          <t>Delivery gate</t>
        </is>
      </c>
      <c r="H4" s="3" t="inlineStr">
        <is>
          <t>Applies from</t>
        </is>
      </c>
      <c r="I4" s="3" t="inlineStr">
        <is>
          <t>Live status</t>
        </is>
      </c>
      <c r="J4" s="3" t="inlineStr">
        <is>
          <t>Gap / note</t>
        </is>
      </c>
    </row>
    <row r="5" ht="30" customHeight="1">
      <c r="A5" s="8" t="n">
        <v>1</v>
      </c>
      <c r="B5" s="9" t="inlineStr">
        <is>
          <t>Creating the first related quote moves the Deal from Qualified to In Progress.</t>
        </is>
      </c>
      <c r="C5" s="7" t="inlineStr">
        <is>
          <t>— (no FR states the transition)</t>
        </is>
      </c>
      <c r="D5" s="7" t="inlineStr">
        <is>
          <t>AC-DEAL-01</t>
        </is>
      </c>
      <c r="E5" s="8" t="inlineStr">
        <is>
          <t>Phase 1A</t>
        </is>
      </c>
      <c r="F5" s="8" t="inlineStr">
        <is>
          <t>1A-08</t>
        </is>
      </c>
      <c r="G5" s="7" t="inlineStr">
        <is>
          <t>G-12</t>
        </is>
      </c>
      <c r="H5" s="8" t="inlineStr">
        <is>
          <t>Phase 1A</t>
        </is>
      </c>
      <c r="I5" s="8">
        <f>IFERROR(INDEX('Phase 1A'!$K$5:$K$58,MATCH("1A-08",'Phase 1A'!$A$5:$A$58,0)),"not found")</f>
        <v/>
      </c>
      <c r="J5" s="23" t="inlineStr">
        <is>
          <t>GAP: the transition is stated in §A6 and tested, but no functional requirement carries it. Add one, or cite §A6 explicitly.</t>
        </is>
      </c>
    </row>
    <row r="6" ht="30" customHeight="1">
      <c r="A6" s="8" t="inlineStr"/>
      <c r="B6" s="9" t="inlineStr"/>
      <c r="C6" s="7" t="inlineStr"/>
      <c r="D6" s="7" t="inlineStr"/>
      <c r="E6" s="8" t="inlineStr">
        <is>
          <t>Regression</t>
        </is>
      </c>
      <c r="F6" s="8" t="inlineStr">
        <is>
          <t>REG-01</t>
        </is>
      </c>
      <c r="G6" s="7" t="inlineStr"/>
      <c r="H6" s="8" t="inlineStr"/>
      <c r="I6" s="8">
        <f>IFERROR(INDEX('Regression'!$K$5:$K$10,MATCH("REG-01",'Regression'!$A$5:$A$10,0)),"not found")</f>
        <v/>
      </c>
      <c r="J6" s="9" t="inlineStr"/>
    </row>
    <row r="7" ht="30" customHeight="1">
      <c r="A7" s="5" t="n">
        <v>2</v>
      </c>
      <c r="B7" s="6" t="inlineStr">
        <is>
          <t>Any relevant quote being accepted makes the Deal Won. Remaining groups change the signed value, never the stage.</t>
        </is>
      </c>
      <c r="C7" s="4" t="inlineStr">
        <is>
          <t>FR-16, FR-17</t>
        </is>
      </c>
      <c r="D7" s="4" t="inlineStr">
        <is>
          <t>AC-DEAL-01, AC-DEAL-07</t>
        </is>
      </c>
      <c r="E7" s="5" t="inlineStr">
        <is>
          <t>Phase 1A</t>
        </is>
      </c>
      <c r="F7" s="5" t="inlineStr">
        <is>
          <t>1A-14</t>
        </is>
      </c>
      <c r="G7" s="4" t="inlineStr">
        <is>
          <t>G-17</t>
        </is>
      </c>
      <c r="H7" s="5" t="inlineStr">
        <is>
          <t>Phase 1A</t>
        </is>
      </c>
      <c r="I7" s="5">
        <f>IFERROR(INDEX('Phase 1A'!$K$5:$K$58,MATCH("1A-14",'Phase 1A'!$A$5:$A$58,0)),"not found")</f>
        <v/>
      </c>
      <c r="J7" s="6" t="inlineStr"/>
    </row>
    <row r="8" ht="30" customHeight="1">
      <c r="A8" s="5" t="inlineStr"/>
      <c r="B8" s="6" t="inlineStr"/>
      <c r="C8" s="4" t="inlineStr"/>
      <c r="D8" s="4" t="inlineStr"/>
      <c r="E8" s="5" t="inlineStr">
        <is>
          <t>Phase 1A</t>
        </is>
      </c>
      <c r="F8" s="5" t="inlineStr">
        <is>
          <t>1A-15</t>
        </is>
      </c>
      <c r="G8" s="4" t="inlineStr"/>
      <c r="H8" s="5" t="inlineStr"/>
      <c r="I8" s="5">
        <f>IFERROR(INDEX('Phase 1A'!$K$5:$K$58,MATCH("1A-15",'Phase 1A'!$A$5:$A$58,0)),"not found")</f>
        <v/>
      </c>
      <c r="J8" s="6" t="inlineStr"/>
    </row>
    <row r="9" ht="30" customHeight="1">
      <c r="A9" s="5" t="inlineStr"/>
      <c r="B9" s="6" t="inlineStr"/>
      <c r="C9" s="4" t="inlineStr"/>
      <c r="D9" s="4" t="inlineStr"/>
      <c r="E9" s="5" t="inlineStr">
        <is>
          <t>Phase 1A</t>
        </is>
      </c>
      <c r="F9" s="5" t="inlineStr">
        <is>
          <t>1A-16</t>
        </is>
      </c>
      <c r="G9" s="4" t="inlineStr"/>
      <c r="H9" s="5" t="inlineStr"/>
      <c r="I9" s="5">
        <f>IFERROR(INDEX('Phase 1A'!$K$5:$K$58,MATCH("1A-16",'Phase 1A'!$A$5:$A$58,0)),"not found")</f>
        <v/>
      </c>
      <c r="J9" s="6" t="inlineStr"/>
    </row>
    <row r="10" ht="30" customHeight="1">
      <c r="A10" s="5" t="inlineStr"/>
      <c r="B10" s="6" t="inlineStr"/>
      <c r="C10" s="4" t="inlineStr"/>
      <c r="D10" s="4" t="inlineStr"/>
      <c r="E10" s="5" t="inlineStr">
        <is>
          <t>Phase 1A</t>
        </is>
      </c>
      <c r="F10" s="5" t="inlineStr">
        <is>
          <t>1A-17</t>
        </is>
      </c>
      <c r="G10" s="4" t="inlineStr"/>
      <c r="H10" s="5" t="inlineStr"/>
      <c r="I10" s="5">
        <f>IFERROR(INDEX('Phase 1A'!$K$5:$K$58,MATCH("1A-17",'Phase 1A'!$A$5:$A$58,0)),"not found")</f>
        <v/>
      </c>
      <c r="J10" s="6" t="inlineStr"/>
    </row>
    <row r="11" ht="30" customHeight="1">
      <c r="A11" s="5" t="inlineStr"/>
      <c r="B11" s="6" t="inlineStr"/>
      <c r="C11" s="4" t="inlineStr"/>
      <c r="D11" s="4" t="inlineStr"/>
      <c r="E11" s="5" t="inlineStr">
        <is>
          <t>Regression</t>
        </is>
      </c>
      <c r="F11" s="5" t="inlineStr">
        <is>
          <t>REG-02</t>
        </is>
      </c>
      <c r="G11" s="4" t="inlineStr"/>
      <c r="H11" s="5" t="inlineStr"/>
      <c r="I11" s="5">
        <f>IFERROR(INDEX('Regression'!$K$5:$K$10,MATCH("REG-02",'Regression'!$A$5:$A$10,0)),"not found")</f>
        <v/>
      </c>
      <c r="J11" s="6" t="inlineStr"/>
    </row>
    <row r="12" ht="30" customHeight="1">
      <c r="A12" s="8" t="n">
        <v>3</v>
      </c>
      <c r="B12" s="9" t="inlineStr">
        <is>
          <t>Sales supplies the loss reason. Sales does not decide the Lost outcome; the system derives it.</t>
        </is>
      </c>
      <c r="C12" s="7" t="inlineStr">
        <is>
          <t>— (FR-17 covers Won and Archived only)</t>
        </is>
      </c>
      <c r="D12" s="7" t="inlineStr">
        <is>
          <t>AC-DEAL-01</t>
        </is>
      </c>
      <c r="E12" s="8" t="inlineStr">
        <is>
          <t>Phase 1A</t>
        </is>
      </c>
      <c r="F12" s="8" t="inlineStr">
        <is>
          <t>1A-19</t>
        </is>
      </c>
      <c r="G12" s="7" t="inlineStr">
        <is>
          <t>G-17</t>
        </is>
      </c>
      <c r="H12" s="8" t="inlineStr">
        <is>
          <t>Phase 1A</t>
        </is>
      </c>
      <c r="I12" s="8">
        <f>IFERROR(INDEX('Phase 1A'!$K$5:$K$58,MATCH("1A-19",'Phase 1A'!$A$5:$A$58,0)),"not found")</f>
        <v/>
      </c>
      <c r="J12" s="23" t="inlineStr">
        <is>
          <t>GAP: no FR separates deriving the outcome from supplying the reason. §A6 and §A7 both state it; a requirement should too.</t>
        </is>
      </c>
    </row>
    <row r="13" ht="30" customHeight="1">
      <c r="A13" s="8" t="inlineStr"/>
      <c r="B13" s="9" t="inlineStr"/>
      <c r="C13" s="7" t="inlineStr"/>
      <c r="D13" s="7" t="inlineStr"/>
      <c r="E13" s="8" t="inlineStr">
        <is>
          <t>Regression</t>
        </is>
      </c>
      <c r="F13" s="8" t="inlineStr">
        <is>
          <t>REG-03</t>
        </is>
      </c>
      <c r="G13" s="7" t="inlineStr"/>
      <c r="H13" s="8" t="inlineStr"/>
      <c r="I13" s="8">
        <f>IFERROR(INDEX('Regression'!$K$5:$K$10,MATCH("REG-03",'Regression'!$A$5:$A$10,0)),"not found")</f>
        <v/>
      </c>
      <c r="J13" s="9" t="inlineStr"/>
    </row>
    <row r="14" ht="30" customHeight="1">
      <c r="A14" s="5" t="n">
        <v>4</v>
      </c>
      <c r="B14" s="6" t="inlineStr">
        <is>
          <t>Testing is optional. Only a real conflict blocks publishing.</t>
        </is>
      </c>
      <c r="C14" s="4" t="inlineStr">
        <is>
          <t>FR-13</t>
        </is>
      </c>
      <c r="D14" s="4" t="inlineStr">
        <is>
          <t>AC-BLD-10</t>
        </is>
      </c>
      <c r="E14" s="5" t="inlineStr">
        <is>
          <t>Phase 1C</t>
        </is>
      </c>
      <c r="F14" s="5" t="inlineStr">
        <is>
          <t>1C-18</t>
        </is>
      </c>
      <c r="G14" s="4" t="inlineStr">
        <is>
          <t>G-36</t>
        </is>
      </c>
      <c r="H14" s="5" t="inlineStr">
        <is>
          <t>Phase 1C</t>
        </is>
      </c>
      <c r="I14" s="5">
        <f>IFERROR(INDEX('Phase 1C'!$K$5:$K$40,MATCH("1C-18",'Phase 1C'!$A$5:$A$40,0)),"not found")</f>
        <v/>
      </c>
      <c r="J14" s="6" t="inlineStr"/>
    </row>
    <row r="15" ht="30" customHeight="1">
      <c r="A15" s="5" t="inlineStr"/>
      <c r="B15" s="6" t="inlineStr"/>
      <c r="C15" s="4" t="inlineStr"/>
      <c r="D15" s="4" t="inlineStr"/>
      <c r="E15" s="5" t="inlineStr">
        <is>
          <t>Regression</t>
        </is>
      </c>
      <c r="F15" s="5" t="inlineStr">
        <is>
          <t>REG-04</t>
        </is>
      </c>
      <c r="G15" s="4" t="inlineStr"/>
      <c r="H15" s="5" t="inlineStr"/>
      <c r="I15" s="5">
        <f>IFERROR(INDEX('Regression'!$K$5:$K$10,MATCH("REG-04",'Regression'!$A$5:$A$10,0)),"not found")</f>
        <v/>
      </c>
      <c r="J15" s="6" t="inlineStr"/>
    </row>
    <row r="16" ht="30" customHeight="1">
      <c r="A16" s="8" t="n">
        <v>5</v>
      </c>
      <c r="B16" s="9" t="inlineStr">
        <is>
          <t>A Phase 2 custom stage receives the identical core block library wherever it sits.</t>
        </is>
      </c>
      <c r="C16" s="7" t="inlineStr">
        <is>
          <t>FR-06, FR-33</t>
        </is>
      </c>
      <c r="D16" s="7" t="inlineStr">
        <is>
          <t>AC-BLD-05</t>
        </is>
      </c>
      <c r="E16" s="8" t="inlineStr">
        <is>
          <t>Phase 1C</t>
        </is>
      </c>
      <c r="F16" s="8" t="inlineStr">
        <is>
          <t>1C-06</t>
        </is>
      </c>
      <c r="G16" s="7" t="inlineStr">
        <is>
          <t>G-35, G-38</t>
        </is>
      </c>
      <c r="H16" s="8" t="inlineStr">
        <is>
          <t>Phase 2</t>
        </is>
      </c>
      <c r="I16" s="8">
        <f>IFERROR(INDEX('Phase 1C'!$K$5:$K$40,MATCH("1C-06",'Phase 1C'!$A$5:$A$40,0)),"not found")</f>
        <v/>
      </c>
      <c r="J16" s="9" t="inlineStr">
        <is>
          <t>REG-05 cannot run before Phase 2. It is excluded from the Phase 1 gates by its Applies from value.</t>
        </is>
      </c>
    </row>
    <row r="17" ht="30" customHeight="1">
      <c r="A17" s="8" t="inlineStr"/>
      <c r="B17" s="9" t="inlineStr"/>
      <c r="C17" s="7" t="inlineStr"/>
      <c r="D17" s="7" t="inlineStr"/>
      <c r="E17" s="8" t="inlineStr">
        <is>
          <t>Phase 1C</t>
        </is>
      </c>
      <c r="F17" s="8" t="inlineStr">
        <is>
          <t>1C-09</t>
        </is>
      </c>
      <c r="G17" s="7" t="inlineStr"/>
      <c r="H17" s="8" t="inlineStr"/>
      <c r="I17" s="8">
        <f>IFERROR(INDEX('Phase 1C'!$K$5:$K$40,MATCH("1C-09",'Phase 1C'!$A$5:$A$40,0)),"not found")</f>
        <v/>
      </c>
      <c r="J17" s="9" t="inlineStr"/>
    </row>
    <row r="18" ht="30" customHeight="1">
      <c r="A18" s="8" t="inlineStr"/>
      <c r="B18" s="9" t="inlineStr"/>
      <c r="C18" s="7" t="inlineStr"/>
      <c r="D18" s="7" t="inlineStr"/>
      <c r="E18" s="8" t="inlineStr">
        <is>
          <t>Regression</t>
        </is>
      </c>
      <c r="F18" s="8" t="inlineStr">
        <is>
          <t>REG-05</t>
        </is>
      </c>
      <c r="G18" s="7" t="inlineStr"/>
      <c r="H18" s="8" t="inlineStr"/>
      <c r="I18" s="8">
        <f>IFERROR(INDEX('Regression'!$K$5:$K$10,MATCH("REG-05",'Regression'!$A$5:$A$10,0)),"not found")</f>
        <v/>
      </c>
      <c r="J18" s="9" t="inlineStr"/>
    </row>
    <row r="19" ht="30" customHeight="1">
      <c r="A19" s="5" t="n">
        <v>6</v>
      </c>
      <c r="B19" s="6" t="inlineStr">
        <is>
          <t>A protected quote lifecycle event is never an ordinary Automation action.</t>
        </is>
      </c>
      <c r="C19" s="4" t="inlineStr">
        <is>
          <t>FR-08</t>
        </is>
      </c>
      <c r="D19" s="4" t="inlineStr">
        <is>
          <t>AC-BLD-07</t>
        </is>
      </c>
      <c r="E19" s="5" t="inlineStr">
        <is>
          <t>Phase 1C</t>
        </is>
      </c>
      <c r="F19" s="5" t="inlineStr">
        <is>
          <t>1C-08</t>
        </is>
      </c>
      <c r="G19" s="4" t="inlineStr">
        <is>
          <t>G-12</t>
        </is>
      </c>
      <c r="H19" s="5" t="inlineStr">
        <is>
          <t>Phase 1A</t>
        </is>
      </c>
      <c r="I19" s="5">
        <f>IFERROR(INDEX('Phase 1C'!$K$5:$K$40,MATCH("1C-08",'Phase 1C'!$A$5:$A$40,0)),"not found")</f>
        <v/>
      </c>
      <c r="J19" s="6" t="inlineStr"/>
    </row>
    <row r="20" ht="30" customHeight="1">
      <c r="A20" s="5" t="inlineStr"/>
      <c r="B20" s="6" t="inlineStr"/>
      <c r="C20" s="4" t="inlineStr"/>
      <c r="D20" s="4" t="inlineStr"/>
      <c r="E20" s="5" t="inlineStr">
        <is>
          <t>Regression</t>
        </is>
      </c>
      <c r="F20" s="5" t="inlineStr">
        <is>
          <t>REG-06</t>
        </is>
      </c>
      <c r="G20" s="4" t="inlineStr"/>
      <c r="H20" s="5" t="inlineStr"/>
      <c r="I20" s="5">
        <f>IFERROR(INDEX('Regression'!$K$5:$K$10,MATCH("REG-06",'Regression'!$A$5:$A$10,0)),"not found")</f>
        <v/>
      </c>
      <c r="J20" s="6" t="inlineStr"/>
    </row>
    <row r="22">
      <c r="A22" s="15" t="inlineStr">
        <is>
          <t>Linked cases passing</t>
        </is>
      </c>
      <c r="C22" s="15">
        <f>COUNTIF(I5:I20,"Pass")&amp;" of "&amp;COUNTA(I5:I20)</f>
        <v/>
      </c>
    </row>
    <row r="23">
      <c r="A23" s="15" t="inlineStr">
        <is>
          <t>Requirement gaps</t>
        </is>
      </c>
      <c r="C23" s="24">
        <f>COUNTIF(J5:J20,"GAP*")&amp;" locked rules have no functional requirement"</f>
        <v/>
      </c>
    </row>
    <row r="25">
      <c r="B25" s="25" t="inlineStr">
        <is>
          <t>A locked rule is only safe once every linked QA case passes AND its delivery gate item is Done. The two gaps are documentation gaps, not test gaps — both rules are tested.</t>
        </is>
      </c>
    </row>
  </sheetData>
  <autoFilter ref="A4:J20"/>
  <conditionalFormatting sqref="I5:I20">
    <cfRule type="cellIs" priority="1" operator="equal" dxfId="0">
      <formula>"Pass"</formula>
    </cfRule>
    <cfRule type="cellIs" priority="2" operator="equal" dxfId="5">
      <formula>"Fail"</formula>
    </cfRule>
    <cfRule type="cellIs" priority="3" operator="equal" dxfId="7">
      <formula>"Blocked"</formula>
    </cfRule>
    <cfRule type="cellIs" priority="4" operator="equal" dxfId="3">
      <formula>"N/A"</formula>
    </cfRule>
    <cfRule type="cellIs" priority="5" operator="equal" dxfId="4">
      <formula>"Not run"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10" customWidth="1" min="3" max="3"/>
    <col width="16" customWidth="1" min="4" max="4"/>
    <col width="56" customWidth="1" min="5" max="5"/>
    <col width="22" customWidth="1" min="6" max="6"/>
    <col width="7" customWidth="1" min="7" max="7"/>
    <col width="8" customWidth="1" min="8" max="8"/>
    <col width="22" customWidth="1" min="9" max="9"/>
    <col width="22" customWidth="1" min="10" max="10"/>
  </cols>
  <sheetData>
    <row r="1">
      <c r="A1" s="1" t="inlineStr">
        <is>
          <t>Use case coverage</t>
        </is>
      </c>
    </row>
    <row r="2">
      <c r="A2" s="2" t="inlineStr">
        <is>
          <t>End-to-end journeys, each mapped to the granular cases that make it up. Coverage is live: it reads those cases' results.</t>
        </is>
      </c>
    </row>
    <row r="4">
      <c r="A4" s="3" t="inlineStr">
        <is>
          <t>ID</t>
        </is>
      </c>
      <c r="B4" s="3" t="inlineStr">
        <is>
          <t>Use case</t>
        </is>
      </c>
      <c r="C4" s="3" t="inlineStr">
        <is>
          <t>Phase</t>
        </is>
      </c>
      <c r="D4" s="3" t="inlineStr">
        <is>
          <t>Persona</t>
        </is>
      </c>
      <c r="E4" s="3" t="inlineStr">
        <is>
          <t>Journey</t>
        </is>
      </c>
      <c r="F4" s="3" t="inlineStr">
        <is>
          <t>Test IDs</t>
        </is>
      </c>
      <c r="G4" s="3" t="inlineStr">
        <is>
          <t>Cases</t>
        </is>
      </c>
      <c r="H4" s="3" t="inlineStr">
        <is>
          <t>Passing</t>
        </is>
      </c>
      <c r="I4" s="3" t="inlineStr">
        <is>
          <t>Coverage</t>
        </is>
      </c>
      <c r="J4" s="3" t="inlineStr">
        <is>
          <t>Notes</t>
        </is>
      </c>
    </row>
    <row r="5" ht="30" customHeight="1">
      <c r="A5" s="4" t="inlineStr">
        <is>
          <t>UC-01</t>
        </is>
      </c>
      <c r="B5" s="4" t="inlineStr">
        <is>
          <t>Lead to first quote</t>
        </is>
      </c>
      <c r="C5" s="5" t="inlineStr">
        <is>
          <t>Phase 1A</t>
        </is>
      </c>
      <c r="D5" s="4" t="inlineStr">
        <is>
          <t>Sales</t>
        </is>
      </c>
      <c r="E5" s="6" t="inlineStr">
        <is>
          <t>New Lead → duplicate check → customer linked → convert → Deal in Qualified → create first quote → In Progress</t>
        </is>
      </c>
      <c r="F5" s="4" t="inlineStr">
        <is>
          <t>1A-01, 1A-02, 1A-08</t>
        </is>
      </c>
      <c r="G5" s="5" t="n">
        <v>3</v>
      </c>
      <c r="H5" s="5">
        <f>COUNTIFS('Phase 1A'!$A$5:$A$58,"1A-01",'Phase 1A'!$K$5:$K$58,"Pass")+COUNTIFS('Phase 1A'!$A$5:$A$58,"1A-02",'Phase 1A'!$K$5:$K$58,"Pass")+COUNTIFS('Phase 1A'!$A$5:$A$58,"1A-08",'Phase 1A'!$K$5:$K$58,"Pass")</f>
        <v/>
      </c>
      <c r="I5" s="4">
        <f>IF(H5=G5,"Fully covered",IF(H5=0,"Not started","Partial — "&amp;H5&amp;" of "&amp;G5)</f>
        <v/>
      </c>
      <c r="J5" s="6" t="inlineStr"/>
    </row>
    <row r="6" ht="30" customHeight="1">
      <c r="A6" s="7" t="inlineStr">
        <is>
          <t>UC-02</t>
        </is>
      </c>
      <c r="B6" s="7" t="inlineStr">
        <is>
          <t>Full review path</t>
        </is>
      </c>
      <c r="C6" s="8" t="inlineStr">
        <is>
          <t>Phase 1A</t>
        </is>
      </c>
      <c r="D6" s="7" t="inlineStr">
        <is>
          <t>Sales + Reviewer</t>
        </is>
      </c>
      <c r="E6" s="9" t="inlineStr">
        <is>
          <t>In Progress → submit → In Review → pass → Passed Review → send → Sent</t>
        </is>
      </c>
      <c r="F6" s="7" t="inlineStr">
        <is>
          <t>1A-09, 1A-10, 1A-11</t>
        </is>
      </c>
      <c r="G6" s="8" t="n">
        <v>3</v>
      </c>
      <c r="H6" s="8">
        <f>COUNTIFS('Phase 1A'!$A$5:$A$58,"1A-09",'Phase 1A'!$K$5:$K$58,"Pass")+COUNTIFS('Phase 1A'!$A$5:$A$58,"1A-10",'Phase 1A'!$K$5:$K$58,"Pass")+COUNTIFS('Phase 1A'!$A$5:$A$58,"1A-11",'Phase 1A'!$K$5:$K$58,"Pass")</f>
        <v/>
      </c>
      <c r="I6" s="7">
        <f>IF(H6=G6,"Fully covered",IF(H6=0,"Not started","Partial — "&amp;H6&amp;" of "&amp;G6)</f>
        <v/>
      </c>
      <c r="J6" s="9" t="inlineStr"/>
    </row>
    <row r="7" ht="30" customHeight="1">
      <c r="A7" s="4" t="inlineStr">
        <is>
          <t>UC-03</t>
        </is>
      </c>
      <c r="B7" s="4" t="inlineStr">
        <is>
          <t>No-review path</t>
        </is>
      </c>
      <c r="C7" s="5" t="inlineStr">
        <is>
          <t>Phase 1A</t>
        </is>
      </c>
      <c r="D7" s="4" t="inlineStr">
        <is>
          <t>Sales</t>
        </is>
      </c>
      <c r="E7" s="6" t="inlineStr">
        <is>
          <t>Review disabled → In Progress → send → Sent, skipping both review stages</t>
        </is>
      </c>
      <c r="F7" s="4" t="inlineStr">
        <is>
          <t>1A-12</t>
        </is>
      </c>
      <c r="G7" s="5" t="n">
        <v>1</v>
      </c>
      <c r="H7" s="5">
        <f>COUNTIFS('Phase 1A'!$A$5:$A$58,"1A-12",'Phase 1A'!$K$5:$K$58,"Pass")</f>
        <v/>
      </c>
      <c r="I7" s="4">
        <f>IF(H7=G7,"Fully covered",IF(H7=0,"Not started","Partial — "&amp;H7&amp;" of "&amp;G7)</f>
        <v/>
      </c>
      <c r="J7" s="6" t="inlineStr"/>
    </row>
    <row r="8" ht="30" customHeight="1">
      <c r="A8" s="7" t="inlineStr">
        <is>
          <t>UC-04</t>
        </is>
      </c>
      <c r="B8" s="7" t="inlineStr">
        <is>
          <t>Changes requested</t>
        </is>
      </c>
      <c r="C8" s="8" t="inlineStr">
        <is>
          <t>Phase 1A</t>
        </is>
      </c>
      <c r="D8" s="7" t="inlineStr">
        <is>
          <t>Reviewer</t>
        </is>
      </c>
      <c r="E8" s="9" t="inlineStr">
        <is>
          <t>In Review → changes requested → back to In Progress → resubmit</t>
        </is>
      </c>
      <c r="F8" s="7" t="inlineStr">
        <is>
          <t>1A-13, 1A-09</t>
        </is>
      </c>
      <c r="G8" s="8" t="n">
        <v>2</v>
      </c>
      <c r="H8" s="8">
        <f>COUNTIFS('Phase 1A'!$A$5:$A$58,"1A-13",'Phase 1A'!$K$5:$K$58,"Pass")+COUNTIFS('Phase 1A'!$A$5:$A$58,"1A-09",'Phase 1A'!$K$5:$K$58,"Pass")</f>
        <v/>
      </c>
      <c r="I8" s="7">
        <f>IF(H8=G8,"Fully covered",IF(H8=0,"Not started","Partial — "&amp;H8&amp;" of "&amp;G8)</f>
        <v/>
      </c>
      <c r="J8" s="9" t="inlineStr"/>
    </row>
    <row r="9" ht="30" customHeight="1">
      <c r="A9" s="4" t="inlineStr">
        <is>
          <t>UC-05</t>
        </is>
      </c>
      <c r="B9" s="4" t="inlineStr">
        <is>
          <t>Client engagement</t>
        </is>
      </c>
      <c r="C9" s="5" t="inlineStr">
        <is>
          <t>Phase 1A</t>
        </is>
      </c>
      <c r="D9" s="4" t="inlineStr">
        <is>
          <t>Sales</t>
        </is>
      </c>
      <c r="E9" s="6" t="inlineStr">
        <is>
          <t>Three quotes sent → client opens two → Deal card shows 2 of 3 viewed</t>
        </is>
      </c>
      <c r="F9" s="4" t="inlineStr">
        <is>
          <t>1A-31, 1A-30, 1A-32</t>
        </is>
      </c>
      <c r="G9" s="5" t="n">
        <v>3</v>
      </c>
      <c r="H9" s="5">
        <f>COUNTIFS('Phase 1A'!$A$5:$A$58,"1A-31",'Phase 1A'!$K$5:$K$58,"Pass")+COUNTIFS('Phase 1A'!$A$5:$A$58,"1A-30",'Phase 1A'!$K$5:$K$58,"Pass")+COUNTIFS('Phase 1A'!$A$5:$A$58,"1A-32",'Phase 1A'!$K$5:$K$58,"Pass")</f>
        <v/>
      </c>
      <c r="I9" s="4">
        <f>IF(H9=G9,"Fully covered",IF(H9=0,"Not started","Partial — "&amp;H9&amp;" of "&amp;G9)</f>
        <v/>
      </c>
      <c r="J9" s="6" t="inlineStr"/>
    </row>
    <row r="10" ht="30" customHeight="1">
      <c r="A10" s="7" t="inlineStr">
        <is>
          <t>UC-06</t>
        </is>
      </c>
      <c r="B10" s="7" t="inlineStr">
        <is>
          <t>Win the deal</t>
        </is>
      </c>
      <c r="C10" s="8" t="inlineStr">
        <is>
          <t>Phase 1A</t>
        </is>
      </c>
      <c r="D10" s="7" t="inlineStr">
        <is>
          <t>Sales</t>
        </is>
      </c>
      <c r="E10" s="9" t="inlineStr">
        <is>
          <t>Alternative group of three → accept one → siblings rejected → Deal Won → value locked</t>
        </is>
      </c>
      <c r="F10" s="7" t="inlineStr">
        <is>
          <t>1A-16, 1A-14, 1A-45</t>
        </is>
      </c>
      <c r="G10" s="8" t="n">
        <v>3</v>
      </c>
      <c r="H10" s="8">
        <f>COUNTIFS('Phase 1A'!$A$5:$A$58,"1A-16",'Phase 1A'!$K$5:$K$58,"Pass")+COUNTIFS('Phase 1A'!$A$5:$A$58,"1A-14",'Phase 1A'!$K$5:$K$58,"Pass")+COUNTIFS('Phase 1A'!$A$5:$A$58,"1A-45",'Phase 1A'!$K$5:$K$58,"Pass")</f>
        <v/>
      </c>
      <c r="I10" s="7">
        <f>IF(H10=G10,"Fully covered",IF(H10=0,"Not started","Partial — "&amp;H10&amp;" of "&amp;G10)</f>
        <v/>
      </c>
      <c r="J10" s="9" t="inlineStr"/>
    </row>
    <row r="11" ht="30" customHeight="1">
      <c r="A11" s="4" t="inlineStr">
        <is>
          <t>UC-07</t>
        </is>
      </c>
      <c r="B11" s="4" t="inlineStr">
        <is>
          <t>Lose the deal</t>
        </is>
      </c>
      <c r="C11" s="5" t="inlineStr">
        <is>
          <t>Phase 1A</t>
        </is>
      </c>
      <c r="D11" s="4" t="inlineStr">
        <is>
          <t>Sales</t>
        </is>
      </c>
      <c r="E11" s="6" t="inlineStr">
        <is>
          <t>All quotes expire → Lost derived → Sales supplies the loss reason</t>
        </is>
      </c>
      <c r="F11" s="4" t="inlineStr">
        <is>
          <t>1A-19</t>
        </is>
      </c>
      <c r="G11" s="5" t="n">
        <v>1</v>
      </c>
      <c r="H11" s="5">
        <f>COUNTIFS('Phase 1A'!$A$5:$A$58,"1A-19",'Phase 1A'!$K$5:$K$58,"Pass")</f>
        <v/>
      </c>
      <c r="I11" s="4">
        <f>IF(H11=G11,"Fully covered",IF(H11=0,"Not started","Partial — "&amp;H11&amp;" of "&amp;G11)</f>
        <v/>
      </c>
      <c r="J11" s="6" t="inlineStr"/>
    </row>
    <row r="12" ht="30" customHeight="1">
      <c r="A12" s="7" t="inlineStr">
        <is>
          <t>UC-08</t>
        </is>
      </c>
      <c r="B12" s="7" t="inlineStr">
        <is>
          <t>Work called off</t>
        </is>
      </c>
      <c r="C12" s="8" t="inlineStr">
        <is>
          <t>Phase 1A</t>
        </is>
      </c>
      <c r="D12" s="7" t="inlineStr">
        <is>
          <t>Sales</t>
        </is>
      </c>
      <c r="E12" s="9" t="inlineStr">
        <is>
          <t>All quotes cancelled → Deal Archived, not Lost</t>
        </is>
      </c>
      <c r="F12" s="7" t="inlineStr">
        <is>
          <t>1A-18</t>
        </is>
      </c>
      <c r="G12" s="8" t="n">
        <v>1</v>
      </c>
      <c r="H12" s="8">
        <f>COUNTIFS('Phase 1A'!$A$5:$A$58,"1A-18",'Phase 1A'!$K$5:$K$58,"Pass")</f>
        <v/>
      </c>
      <c r="I12" s="7">
        <f>IF(H12=G12,"Fully covered",IF(H12=0,"Not started","Partial — "&amp;H12&amp;" of "&amp;G12)</f>
        <v/>
      </c>
      <c r="J12" s="9" t="inlineStr"/>
    </row>
    <row r="13" ht="30" customHeight="1">
      <c r="A13" s="4" t="inlineStr">
        <is>
          <t>UC-09</t>
        </is>
      </c>
      <c r="B13" s="4" t="inlineStr">
        <is>
          <t>Additive versus competing</t>
        </is>
      </c>
      <c r="C13" s="5" t="inlineStr">
        <is>
          <t>Phase 1A</t>
        </is>
      </c>
      <c r="D13" s="4" t="inlineStr">
        <is>
          <t>Sales</t>
        </is>
      </c>
      <c r="E13" s="6" t="inlineStr">
        <is>
          <t>Two independent quotes add up; two grouped quotes compete</t>
        </is>
      </c>
      <c r="F13" s="4" t="inlineStr">
        <is>
          <t>1A-34, 1A-35, 1A-37</t>
        </is>
      </c>
      <c r="G13" s="5" t="n">
        <v>3</v>
      </c>
      <c r="H13" s="5">
        <f>COUNTIFS('Phase 1A'!$A$5:$A$58,"1A-34",'Phase 1A'!$K$5:$K$58,"Pass")+COUNTIFS('Phase 1A'!$A$5:$A$58,"1A-35",'Phase 1A'!$K$5:$K$58,"Pass")+COUNTIFS('Phase 1A'!$A$5:$A$58,"1A-37",'Phase 1A'!$K$5:$K$58,"Pass")</f>
        <v/>
      </c>
      <c r="I13" s="4">
        <f>IF(H13=G13,"Fully covered",IF(H13=0,"Not started","Partial — "&amp;H13&amp;" of "&amp;G13)</f>
        <v/>
      </c>
      <c r="J13" s="6" t="inlineStr"/>
    </row>
    <row r="14" ht="30" customHeight="1">
      <c r="A14" s="7" t="inlineStr">
        <is>
          <t>UC-10</t>
        </is>
      </c>
      <c r="B14" s="7" t="inlineStr">
        <is>
          <t>Vary sold work</t>
        </is>
      </c>
      <c r="C14" s="8" t="inlineStr">
        <is>
          <t>Phase 1A</t>
        </is>
      </c>
      <c r="D14" s="7" t="inlineStr">
        <is>
          <t>Sales + Finance</t>
        </is>
      </c>
      <c r="E14" s="9" t="inlineStr">
        <is>
          <t>Accepted quote → raise change order → client signs → value updated, stage unchanged</t>
        </is>
      </c>
      <c r="F14" s="7" t="inlineStr">
        <is>
          <t>1A-38, 1A-40, 1A-42</t>
        </is>
      </c>
      <c r="G14" s="8" t="n">
        <v>3</v>
      </c>
      <c r="H14" s="8">
        <f>COUNTIFS('Phase 1A'!$A$5:$A$58,"1A-38",'Phase 1A'!$K$5:$K$58,"Pass")+COUNTIFS('Phase 1A'!$A$5:$A$58,"1A-40",'Phase 1A'!$K$5:$K$58,"Pass")+COUNTIFS('Phase 1A'!$A$5:$A$58,"1A-42",'Phase 1A'!$K$5:$K$58,"Pass")</f>
        <v/>
      </c>
      <c r="I14" s="7">
        <f>IF(H14=G14,"Fully covered",IF(H14=0,"Not started","Partial — "&amp;H14&amp;" of "&amp;G14)</f>
        <v/>
      </c>
      <c r="J14" s="9" t="inlineStr"/>
    </row>
    <row r="15" ht="30" customHeight="1">
      <c r="A15" s="4" t="inlineStr">
        <is>
          <t>UC-11</t>
        </is>
      </c>
      <c r="B15" s="4" t="inlineStr">
        <is>
          <t>Multi-company working</t>
        </is>
      </c>
      <c r="C15" s="5" t="inlineStr">
        <is>
          <t>Phase 1A</t>
        </is>
      </c>
      <c r="D15" s="4" t="inlineStr">
        <is>
          <t>Manager</t>
        </is>
      </c>
      <c r="E15" s="6" t="inlineStr">
        <is>
          <t>Audio Vision manager sees permitted companies only; scoped Automation runs for one branch</t>
        </is>
      </c>
      <c r="F15" s="4" t="inlineStr">
        <is>
          <t>1A-47, 1B-04</t>
        </is>
      </c>
      <c r="G15" s="5" t="n">
        <v>2</v>
      </c>
      <c r="H15" s="5">
        <f>COUNTIFS('Phase 1A'!$A$5:$A$58,"1A-47",'Phase 1A'!$K$5:$K$58,"Pass")+COUNTIFS('Phase 1B'!$A$5:$A$29,"1B-04",'Phase 1B'!$K$5:$K$29,"Pass")</f>
        <v/>
      </c>
      <c r="I15" s="4">
        <f>IF(H15=G15,"Fully covered",IF(H15=0,"Not started","Partial — "&amp;H15&amp;" of "&amp;G15)</f>
        <v/>
      </c>
      <c r="J15" s="6" t="inlineStr"/>
    </row>
    <row r="16" ht="30" customHeight="1">
      <c r="A16" s="7" t="inlineStr">
        <is>
          <t>UC-12</t>
        </is>
      </c>
      <c r="B16" s="7" t="inlineStr">
        <is>
          <t>Switch on a recipe</t>
        </is>
      </c>
      <c r="C16" s="8" t="inlineStr">
        <is>
          <t>Phase 1B</t>
        </is>
      </c>
      <c r="D16" s="7" t="inlineStr">
        <is>
          <t>Admin</t>
        </is>
      </c>
      <c r="E16" s="9" t="inlineStr">
        <is>
          <t>Choose a recipe → set owner, days and scope → activate → it fires and writes to the Deal card</t>
        </is>
      </c>
      <c r="F16" s="7" t="inlineStr">
        <is>
          <t>1B-01, 1B-02, 1B-20</t>
        </is>
      </c>
      <c r="G16" s="8" t="n">
        <v>3</v>
      </c>
      <c r="H16" s="8">
        <f>COUNTIFS('Phase 1B'!$A$5:$A$29,"1B-01",'Phase 1B'!$K$5:$K$29,"Pass")+COUNTIFS('Phase 1B'!$A$5:$A$29,"1B-02",'Phase 1B'!$K$5:$K$29,"Pass")+COUNTIFS('Phase 1B'!$A$5:$A$29,"1B-20",'Phase 1B'!$K$5:$K$29,"Pass")</f>
        <v/>
      </c>
      <c r="I16" s="7">
        <f>IF(H16=G16,"Fully covered",IF(H16=0,"Not started","Partial — "&amp;H16&amp;" of "&amp;G16)</f>
        <v/>
      </c>
      <c r="J16" s="9" t="inlineStr"/>
    </row>
    <row r="17" ht="30" customHeight="1">
      <c r="A17" s="4" t="inlineStr">
        <is>
          <t>UC-13</t>
        </is>
      </c>
      <c r="B17" s="4" t="inlineStr">
        <is>
          <t>Chase a sent quote</t>
        </is>
      </c>
      <c r="C17" s="5" t="inlineStr">
        <is>
          <t>Phase 1B</t>
        </is>
      </c>
      <c r="D17" s="4" t="inlineStr">
        <is>
          <t>Sales</t>
        </is>
      </c>
      <c r="E17" s="6" t="inlineStr">
        <is>
          <t>Quote sent → wait three working days → follow-up note created and visible</t>
        </is>
      </c>
      <c r="F17" s="4" t="inlineStr">
        <is>
          <t>1B-09, 1B-21</t>
        </is>
      </c>
      <c r="G17" s="5" t="n">
        <v>2</v>
      </c>
      <c r="H17" s="5">
        <f>COUNTIFS('Phase 1B'!$A$5:$A$29,"1B-09",'Phase 1B'!$K$5:$K$29,"Pass")+COUNTIFS('Phase 1B'!$A$5:$A$29,"1B-21",'Phase 1B'!$K$5:$K$29,"Pass")</f>
        <v/>
      </c>
      <c r="I17" s="4">
        <f>IF(H17=G17,"Fully covered",IF(H17=0,"Not started","Partial — "&amp;H17&amp;" of "&amp;G17)</f>
        <v/>
      </c>
      <c r="J17" s="6" t="inlineStr"/>
    </row>
    <row r="18" ht="30" customHeight="1">
      <c r="A18" s="7" t="inlineStr">
        <is>
          <t>UC-14</t>
        </is>
      </c>
      <c r="B18" s="7" t="inlineStr">
        <is>
          <t>High-value approval</t>
        </is>
      </c>
      <c r="C18" s="8" t="inlineStr">
        <is>
          <t>Phase 1B</t>
        </is>
      </c>
      <c r="D18" s="7" t="inlineStr">
        <is>
          <t>Sales + Approver</t>
        </is>
      </c>
      <c r="E18" s="9" t="inlineStr">
        <is>
          <t>Quote passes review above threshold → approval note raised to the approver</t>
        </is>
      </c>
      <c r="F18" s="7" t="inlineStr">
        <is>
          <t>1B-16, 1B-17</t>
        </is>
      </c>
      <c r="G18" s="8" t="n">
        <v>2</v>
      </c>
      <c r="H18" s="8">
        <f>COUNTIFS('Phase 1B'!$A$5:$A$29,"1B-16",'Phase 1B'!$K$5:$K$29,"Pass")+COUNTIFS('Phase 1B'!$A$5:$A$29,"1B-17",'Phase 1B'!$K$5:$K$29,"Pass")</f>
        <v/>
      </c>
      <c r="I18" s="7">
        <f>IF(H18=G18,"Fully covered",IF(H18=0,"Not started","Partial — "&amp;H18&amp;" of "&amp;G18)</f>
        <v/>
      </c>
      <c r="J18" s="9" t="inlineStr"/>
    </row>
    <row r="19" ht="30" customHeight="1">
      <c r="A19" s="4" t="inlineStr">
        <is>
          <t>UC-15</t>
        </is>
      </c>
      <c r="B19" s="4" t="inlineStr">
        <is>
          <t>Draft to publish</t>
        </is>
      </c>
      <c r="C19" s="5" t="inlineStr">
        <is>
          <t>Phase 1C</t>
        </is>
      </c>
      <c r="D19" s="4" t="inlineStr">
        <is>
          <t>Admin</t>
        </is>
      </c>
      <c r="E19" s="6" t="inlineStr">
        <is>
          <t>Open → edit → save draft → test → validate → publish → history recorded</t>
        </is>
      </c>
      <c r="F19" s="4" t="inlineStr">
        <is>
          <t>1C-12, 1C-16, 1C-20, 1C-30</t>
        </is>
      </c>
      <c r="G19" s="5" t="n">
        <v>4</v>
      </c>
      <c r="H19" s="5">
        <f>COUNTIFS('Phase 1C'!$A$5:$A$40,"1C-12",'Phase 1C'!$K$5:$K$40,"Pass")+COUNTIFS('Phase 1C'!$A$5:$A$40,"1C-16",'Phase 1C'!$K$5:$K$40,"Pass")+COUNTIFS('Phase 1C'!$A$5:$A$40,"1C-20",'Phase 1C'!$K$5:$K$40,"Pass")+COUNTIFS('Phase 1C'!$A$5:$A$40,"1C-30",'Phase 1C'!$K$5:$K$40,"Pass")</f>
        <v/>
      </c>
      <c r="I19" s="4">
        <f>IF(H19=G19,"Fully covered",IF(H19=0,"Not started","Partial — "&amp;H19&amp;" of "&amp;G19)</f>
        <v/>
      </c>
      <c r="J19" s="6" t="inlineStr"/>
    </row>
    <row r="20" ht="30" customHeight="1">
      <c r="A20" s="7" t="inlineStr">
        <is>
          <t>UC-16</t>
        </is>
      </c>
      <c r="B20" s="7" t="inlineStr">
        <is>
          <t>Blocked publish</t>
        </is>
      </c>
      <c r="C20" s="8" t="inlineStr">
        <is>
          <t>Phase 1C</t>
        </is>
      </c>
      <c r="D20" s="7" t="inlineStr">
        <is>
          <t>Admin</t>
        </is>
      </c>
      <c r="E20" s="9" t="inlineStr">
        <is>
          <t>Introduce a conflict → publishing refused with the step named → fix → publish succeeds</t>
        </is>
      </c>
      <c r="F20" s="7" t="inlineStr">
        <is>
          <t>1C-21, 1C-20</t>
        </is>
      </c>
      <c r="G20" s="8" t="n">
        <v>2</v>
      </c>
      <c r="H20" s="8">
        <f>COUNTIFS('Phase 1C'!$A$5:$A$40,"1C-21",'Phase 1C'!$K$5:$K$40,"Pass")+COUNTIFS('Phase 1C'!$A$5:$A$40,"1C-20",'Phase 1C'!$K$5:$K$40,"Pass")</f>
        <v/>
      </c>
      <c r="I20" s="7">
        <f>IF(H20=G20,"Fully covered",IF(H20=0,"Not started","Partial — "&amp;H20&amp;" of "&amp;G20)</f>
        <v/>
      </c>
      <c r="J20" s="9" t="inlineStr"/>
    </row>
    <row r="21" ht="30" customHeight="1">
      <c r="A21" s="4" t="inlineStr">
        <is>
          <t>UC-17</t>
        </is>
      </c>
      <c r="B21" s="4" t="inlineStr">
        <is>
          <t>Required work before a move</t>
        </is>
      </c>
      <c r="C21" s="5" t="inlineStr">
        <is>
          <t>Phase 1C</t>
        </is>
      </c>
      <c r="D21" s="4" t="inlineStr">
        <is>
          <t>Sales</t>
        </is>
      </c>
      <c r="E21" s="6" t="inlineStr">
        <is>
          <t>Attempt a stage move → outstanding items listed → resolve inline → original action resumes</t>
        </is>
      </c>
      <c r="F21" s="4" t="inlineStr">
        <is>
          <t>1C-33, 1C-32</t>
        </is>
      </c>
      <c r="G21" s="5" t="n">
        <v>2</v>
      </c>
      <c r="H21" s="5">
        <f>COUNTIFS('Phase 1C'!$A$5:$A$40,"1C-33",'Phase 1C'!$K$5:$K$40,"Pass")+COUNTIFS('Phase 1C'!$A$5:$A$40,"1C-32",'Phase 1C'!$K$5:$K$40,"Pass")</f>
        <v/>
      </c>
      <c r="I21" s="4">
        <f>IF(H21=G21,"Fully covered",IF(H21=0,"Not started","Partial — "&amp;H21&amp;" of "&amp;G21)</f>
        <v/>
      </c>
      <c r="J21" s="6" t="inlineStr"/>
    </row>
    <row r="22" ht="30" customHeight="1">
      <c r="A22" s="7" t="inlineStr">
        <is>
          <t>UC-18</t>
        </is>
      </c>
      <c r="B22" s="7" t="inlineStr">
        <is>
          <t>Right pipeline every time</t>
        </is>
      </c>
      <c r="C22" s="8" t="inlineStr">
        <is>
          <t>Phase 1C</t>
        </is>
      </c>
      <c r="D22" s="7" t="inlineStr">
        <is>
          <t>Admin</t>
        </is>
      </c>
      <c r="E22" s="9" t="inlineStr">
        <is>
          <t>Deal on a non-Sales pipeline → open its Automations from the Deal page → correct pipeline opens</t>
        </is>
      </c>
      <c r="F22" s="7" t="inlineStr">
        <is>
          <t>1C-05, 1C-03, 1C-04</t>
        </is>
      </c>
      <c r="G22" s="8" t="n">
        <v>3</v>
      </c>
      <c r="H22" s="8">
        <f>COUNTIFS('Phase 1C'!$A$5:$A$40,"1C-05",'Phase 1C'!$K$5:$K$40,"Pass")+COUNTIFS('Phase 1C'!$A$5:$A$40,"1C-03",'Phase 1C'!$K$5:$K$40,"Pass")+COUNTIFS('Phase 1C'!$A$5:$A$40,"1C-04",'Phase 1C'!$K$5:$K$40,"Pass")</f>
        <v/>
      </c>
      <c r="I22" s="7">
        <f>IF(H22=G22,"Fully covered",IF(H22=0,"Not started","Partial — "&amp;H22&amp;" of "&amp;G22)</f>
        <v/>
      </c>
      <c r="J22" s="9" t="inlineStr"/>
    </row>
    <row r="24">
      <c r="A24" s="15" t="inlineStr">
        <is>
          <t>Journeys fully covered</t>
        </is>
      </c>
      <c r="C24" s="15">
        <f>COUNTIF(I5:I22,"Fully covered")&amp;" of "&amp;COUNTA(I5:I22)</f>
        <v/>
      </c>
    </row>
  </sheetData>
  <autoFilter ref="A4:J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8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5" customWidth="1" min="5" max="5"/>
    <col width="10" customWidth="1" min="6" max="6"/>
    <col width="30" customWidth="1" min="7" max="7"/>
    <col width="38" customWidth="1" min="8" max="8"/>
    <col width="44" customWidth="1" min="9" max="9"/>
    <col width="20" customWidth="1" min="10" max="10"/>
    <col width="11" customWidth="1" min="11" max="11"/>
    <col width="26" customWidth="1" min="12" max="12"/>
    <col width="10" customWidth="1" min="13" max="13"/>
    <col width="12" customWidth="1" min="14" max="14"/>
    <col width="14" customWidth="1" min="15" max="15"/>
    <col width="16" customWidth="1" min="16" max="16"/>
    <col width="22" customWidth="1" min="17" max="17"/>
    <col width="11" customWidth="1" min="18" max="18"/>
    <col width="15" customWidth="1" min="19" max="19"/>
    <col width="10" customWidth="1" min="20" max="20"/>
    <col width="11" customWidth="1" min="21" max="21"/>
    <col width="22" customWidth="1" min="22" max="22"/>
  </cols>
  <sheetData>
    <row r="1">
      <c r="A1" s="1" t="inlineStr">
        <is>
          <t>QA checklist — Phase 1A</t>
        </is>
      </c>
    </row>
    <row r="2">
      <c r="A2" s="2" t="inlineStr">
        <is>
          <t>CRM foundation — records, stage logic, alternatives, change orders, value, visibility and tenancy.</t>
        </is>
      </c>
    </row>
    <row r="3">
      <c r="A3" s="2" t="inlineStr">
        <is>
          <t>Fill in from Status onwards. Everything to the left describes the test.</t>
        </is>
      </c>
    </row>
    <row r="4">
      <c r="A4" s="3" t="inlineStr">
        <is>
          <t>ID</t>
        </is>
      </c>
      <c r="B4" s="3" t="inlineStr">
        <is>
          <t>Release</t>
        </is>
      </c>
      <c r="C4" s="3" t="inlineStr">
        <is>
          <t>Applies from</t>
        </is>
      </c>
      <c r="D4" s="3" t="inlineStr">
        <is>
          <t>Area</t>
        </is>
      </c>
      <c r="E4" s="3" t="inlineStr">
        <is>
          <t>Pri</t>
        </is>
      </c>
      <c r="F4" s="3" t="inlineStr">
        <is>
          <t>Method</t>
        </is>
      </c>
      <c r="G4" s="3" t="inlineStr">
        <is>
          <t>Precondition</t>
        </is>
      </c>
      <c r="H4" s="3" t="inlineStr">
        <is>
          <t>Steps</t>
        </is>
      </c>
      <c r="I4" s="3" t="inlineStr">
        <is>
          <t>Expected result</t>
        </is>
      </c>
      <c r="J4" s="3" t="inlineStr">
        <is>
          <t>Traces to</t>
        </is>
      </c>
      <c r="K4" s="3" t="inlineStr">
        <is>
          <t>Status</t>
        </is>
      </c>
      <c r="L4" s="3" t="inlineStr">
        <is>
          <t>Actual result</t>
        </is>
      </c>
      <c r="M4" s="3" t="inlineStr">
        <is>
          <t>Build</t>
        </is>
      </c>
      <c r="N4" s="3" t="inlineStr">
        <is>
          <t>Environment</t>
        </is>
      </c>
      <c r="O4" s="3" t="inlineStr">
        <is>
          <t>Browser / device</t>
        </is>
      </c>
      <c r="P4" s="3" t="inlineStr">
        <is>
          <t>Test data</t>
        </is>
      </c>
      <c r="Q4" s="3" t="inlineStr">
        <is>
          <t>Evidence link</t>
        </is>
      </c>
      <c r="R4" s="3" t="inlineStr">
        <is>
          <t>Defect ID</t>
        </is>
      </c>
      <c r="S4" s="3" t="inlineStr">
        <is>
          <t>Waiver approved by</t>
        </is>
      </c>
      <c r="T4" s="3" t="inlineStr">
        <is>
          <t>Tester</t>
        </is>
      </c>
      <c r="U4" s="3" t="inlineStr">
        <is>
          <t>Date</t>
        </is>
      </c>
      <c r="V4" s="3" t="inlineStr">
        <is>
          <t>Notes</t>
        </is>
      </c>
    </row>
    <row r="5" ht="40" customHeight="1">
      <c r="A5" s="4" t="inlineStr">
        <is>
          <t>1A-01</t>
        </is>
      </c>
      <c r="B5" s="5" t="inlineStr">
        <is>
          <t>Phase 1A</t>
        </is>
      </c>
      <c r="C5" s="5" t="inlineStr">
        <is>
          <t>Phase 1A</t>
        </is>
      </c>
      <c r="D5" s="4" t="inlineStr">
        <is>
          <t>Lead</t>
        </is>
      </c>
      <c r="E5" s="5" t="inlineStr">
        <is>
          <t>P1</t>
        </is>
      </c>
      <c r="F5" s="5" t="inlineStr">
        <is>
          <t>Manual</t>
        </is>
      </c>
      <c r="G5" s="6" t="inlineStr">
        <is>
          <t>A customer named Hillside Residence already exists.</t>
        </is>
      </c>
      <c r="H5" s="6" t="inlineStr">
        <is>
          <t>Create a Lead for 'Hillside Residence'.</t>
        </is>
      </c>
      <c r="I5" s="6" t="inlineStr">
        <is>
          <t>Possible matches are shown before saving. The user must pick one or explicitly create new. No customer is created silently.</t>
        </is>
      </c>
      <c r="J5" s="6" t="inlineStr">
        <is>
          <t>FR-27 / AC-LEAD-01</t>
        </is>
      </c>
      <c r="K5" s="5" t="inlineStr">
        <is>
          <t>Not run</t>
        </is>
      </c>
      <c r="L5" s="6" t="inlineStr"/>
      <c r="M5" s="5" t="inlineStr"/>
      <c r="N5" s="4" t="inlineStr"/>
      <c r="O5" s="4" t="inlineStr"/>
      <c r="P5" s="4" t="inlineStr"/>
      <c r="Q5" s="6" t="inlineStr"/>
      <c r="R5" s="4" t="inlineStr"/>
      <c r="S5" s="4" t="inlineStr"/>
      <c r="T5" s="4" t="inlineStr"/>
      <c r="U5" s="5" t="inlineStr"/>
      <c r="V5" s="6" t="inlineStr"/>
    </row>
    <row r="6" ht="40" customHeight="1">
      <c r="A6" s="7" t="inlineStr">
        <is>
          <t>1A-02</t>
        </is>
      </c>
      <c r="B6" s="8" t="inlineStr">
        <is>
          <t>Phase 1A</t>
        </is>
      </c>
      <c r="C6" s="8" t="inlineStr">
        <is>
          <t>Phase 1A</t>
        </is>
      </c>
      <c r="D6" s="7" t="inlineStr">
        <is>
          <t>Lead</t>
        </is>
      </c>
      <c r="E6" s="8" t="inlineStr">
        <is>
          <t>P1</t>
        </is>
      </c>
      <c r="F6" s="8" t="inlineStr">
        <is>
          <t>Manual</t>
        </is>
      </c>
      <c r="G6" s="9" t="inlineStr">
        <is>
          <t>An open Lead exists.</t>
        </is>
      </c>
      <c r="H6" s="9" t="inlineStr">
        <is>
          <t>Convert the Lead to a Deal.</t>
        </is>
      </c>
      <c r="I6" s="9" t="inlineStr">
        <is>
          <t>Exactly one Deal is created, in Qualified. The Lead becomes converted and read-only.</t>
        </is>
      </c>
      <c r="J6" s="9" t="inlineStr">
        <is>
          <t>FR-28 / AC-LEAD-02, AC-LEAD-03</t>
        </is>
      </c>
      <c r="K6" s="8" t="inlineStr">
        <is>
          <t>Not run</t>
        </is>
      </c>
      <c r="L6" s="9" t="inlineStr"/>
      <c r="M6" s="8" t="inlineStr"/>
      <c r="N6" s="7" t="inlineStr"/>
      <c r="O6" s="7" t="inlineStr"/>
      <c r="P6" s="7" t="inlineStr"/>
      <c r="Q6" s="9" t="inlineStr"/>
      <c r="R6" s="7" t="inlineStr"/>
      <c r="S6" s="7" t="inlineStr"/>
      <c r="T6" s="7" t="inlineStr"/>
      <c r="U6" s="8" t="inlineStr"/>
      <c r="V6" s="9" t="inlineStr"/>
    </row>
    <row r="7" ht="40" customHeight="1">
      <c r="A7" s="4" t="inlineStr">
        <is>
          <t>1A-03</t>
        </is>
      </c>
      <c r="B7" s="5" t="inlineStr">
        <is>
          <t>Phase 1A</t>
        </is>
      </c>
      <c r="C7" s="5" t="inlineStr">
        <is>
          <t>Phase 1A</t>
        </is>
      </c>
      <c r="D7" s="4" t="inlineStr">
        <is>
          <t>Lead</t>
        </is>
      </c>
      <c r="E7" s="5" t="inlineStr">
        <is>
          <t>P2</t>
        </is>
      </c>
      <c r="F7" s="5" t="inlineStr">
        <is>
          <t>Manual</t>
        </is>
      </c>
      <c r="G7" s="6" t="inlineStr">
        <is>
          <t>A converted Lead exists.</t>
        </is>
      </c>
      <c r="H7" s="6" t="inlineStr">
        <is>
          <t>Attempt to convert it again.</t>
        </is>
      </c>
      <c r="I7" s="6" t="inlineStr">
        <is>
          <t>Rejected. A message names the Deal that already exists and links to it. No second Deal is created.</t>
        </is>
      </c>
      <c r="J7" s="6" t="inlineStr">
        <is>
          <t>AC-LEAD-03</t>
        </is>
      </c>
      <c r="K7" s="5" t="inlineStr">
        <is>
          <t>Not run</t>
        </is>
      </c>
      <c r="L7" s="6" t="inlineStr"/>
      <c r="M7" s="5" t="inlineStr"/>
      <c r="N7" s="4" t="inlineStr"/>
      <c r="O7" s="4" t="inlineStr"/>
      <c r="P7" s="4" t="inlineStr"/>
      <c r="Q7" s="6" t="inlineStr"/>
      <c r="R7" s="4" t="inlineStr"/>
      <c r="S7" s="4" t="inlineStr"/>
      <c r="T7" s="4" t="inlineStr"/>
      <c r="U7" s="5" t="inlineStr"/>
      <c r="V7" s="6" t="inlineStr"/>
    </row>
    <row r="8" ht="40" customHeight="1">
      <c r="A8" s="7" t="inlineStr">
        <is>
          <t>1A-04</t>
        </is>
      </c>
      <c r="B8" s="8" t="inlineStr">
        <is>
          <t>Phase 1A</t>
        </is>
      </c>
      <c r="C8" s="8" t="inlineStr">
        <is>
          <t>Phase 1A</t>
        </is>
      </c>
      <c r="D8" s="7" t="inlineStr">
        <is>
          <t>Lead</t>
        </is>
      </c>
      <c r="E8" s="8" t="inlineStr">
        <is>
          <t>P1</t>
        </is>
      </c>
      <c r="F8" s="8" t="inlineStr">
        <is>
          <t>Manual</t>
        </is>
      </c>
      <c r="G8" s="9" t="inlineStr">
        <is>
          <t>An open Lead exists.</t>
        </is>
      </c>
      <c r="H8" s="9" t="inlineStr">
        <is>
          <t>Discard it without choosing a reason.</t>
        </is>
      </c>
      <c r="I8" s="9" t="inlineStr">
        <is>
          <t>Discard is refused. The reason field is marked required and the Lead stays open until one is chosen.</t>
        </is>
      </c>
      <c r="J8" s="9" t="inlineStr">
        <is>
          <t>AC-LEAD-04</t>
        </is>
      </c>
      <c r="K8" s="8" t="inlineStr">
        <is>
          <t>Not run</t>
        </is>
      </c>
      <c r="L8" s="9" t="inlineStr"/>
      <c r="M8" s="8" t="inlineStr"/>
      <c r="N8" s="7" t="inlineStr"/>
      <c r="O8" s="7" t="inlineStr"/>
      <c r="P8" s="7" t="inlineStr"/>
      <c r="Q8" s="9" t="inlineStr"/>
      <c r="R8" s="7" t="inlineStr"/>
      <c r="S8" s="7" t="inlineStr"/>
      <c r="T8" s="7" t="inlineStr"/>
      <c r="U8" s="8" t="inlineStr"/>
      <c r="V8" s="9" t="inlineStr"/>
    </row>
    <row r="9" ht="40" customHeight="1">
      <c r="A9" s="4" t="inlineStr">
        <is>
          <t>1A-05</t>
        </is>
      </c>
      <c r="B9" s="5" t="inlineStr">
        <is>
          <t>Phase 1A</t>
        </is>
      </c>
      <c r="C9" s="5" t="inlineStr">
        <is>
          <t>Phase 1A</t>
        </is>
      </c>
      <c r="D9" s="4" t="inlineStr">
        <is>
          <t>Lead</t>
        </is>
      </c>
      <c r="E9" s="5" t="inlineStr">
        <is>
          <t>P1</t>
        </is>
      </c>
      <c r="F9" s="5" t="inlineStr">
        <is>
          <t>Manual</t>
        </is>
      </c>
      <c r="G9" s="6" t="inlineStr">
        <is>
          <t>An open Lead exists.</t>
        </is>
      </c>
      <c r="H9" s="6" t="inlineStr">
        <is>
          <t>Try every route to attach a quote to the Lead.</t>
        </is>
      </c>
      <c r="I9" s="6" t="inlineStr">
        <is>
          <t>No route exists — not from the Lead, not from the quote list, not by direct URL. A quote can only attach to a Deal.</t>
        </is>
      </c>
      <c r="J9" s="6" t="inlineStr">
        <is>
          <t>FR-26 / AC-LEAD-05</t>
        </is>
      </c>
      <c r="K9" s="5" t="inlineStr">
        <is>
          <t>Not run</t>
        </is>
      </c>
      <c r="L9" s="6" t="inlineStr"/>
      <c r="M9" s="5" t="inlineStr"/>
      <c r="N9" s="4" t="inlineStr"/>
      <c r="O9" s="4" t="inlineStr"/>
      <c r="P9" s="4" t="inlineStr"/>
      <c r="Q9" s="6" t="inlineStr"/>
      <c r="R9" s="4" t="inlineStr"/>
      <c r="S9" s="4" t="inlineStr"/>
      <c r="T9" s="4" t="inlineStr"/>
      <c r="U9" s="5" t="inlineStr"/>
      <c r="V9" s="6" t="inlineStr"/>
    </row>
    <row r="10" ht="40" customHeight="1">
      <c r="A10" s="7" t="inlineStr">
        <is>
          <t>1A-06</t>
        </is>
      </c>
      <c r="B10" s="8" t="inlineStr">
        <is>
          <t>Phase 1A</t>
        </is>
      </c>
      <c r="C10" s="8" t="inlineStr">
        <is>
          <t>Phase 1A</t>
        </is>
      </c>
      <c r="D10" s="7" t="inlineStr">
        <is>
          <t>Lead</t>
        </is>
      </c>
      <c r="E10" s="8" t="inlineStr">
        <is>
          <t>P2</t>
        </is>
      </c>
      <c r="F10" s="8" t="inlineStr">
        <is>
          <t>Manual</t>
        </is>
      </c>
      <c r="G10" s="9" t="inlineStr">
        <is>
          <t>Leads across several companies.</t>
        </is>
      </c>
      <c r="H10" s="9" t="inlineStr">
        <is>
          <t>Filter the Lead inbox by company.</t>
        </is>
      </c>
      <c r="I10" s="9" t="inlineStr">
        <is>
          <t>Only Leads whose owning company matches the filter are listed. The count in the header matches the rows shown.</t>
        </is>
      </c>
      <c r="J10" s="9" t="inlineStr">
        <is>
          <t>FR-38 / C15</t>
        </is>
      </c>
      <c r="K10" s="8" t="inlineStr">
        <is>
          <t>Not run</t>
        </is>
      </c>
      <c r="L10" s="9" t="inlineStr"/>
      <c r="M10" s="8" t="inlineStr"/>
      <c r="N10" s="7" t="inlineStr"/>
      <c r="O10" s="7" t="inlineStr"/>
      <c r="P10" s="7" t="inlineStr"/>
      <c r="Q10" s="9" t="inlineStr"/>
      <c r="R10" s="7" t="inlineStr"/>
      <c r="S10" s="7" t="inlineStr"/>
      <c r="T10" s="7" t="inlineStr"/>
      <c r="U10" s="8" t="inlineStr"/>
      <c r="V10" s="9" t="inlineStr"/>
    </row>
    <row r="11" ht="40" customHeight="1">
      <c r="A11" s="4" t="inlineStr">
        <is>
          <t>1A-07</t>
        </is>
      </c>
      <c r="B11" s="5" t="inlineStr">
        <is>
          <t>Phase 1A</t>
        </is>
      </c>
      <c r="C11" s="5" t="inlineStr">
        <is>
          <t>Phase 1A</t>
        </is>
      </c>
      <c r="D11" s="4" t="inlineStr">
        <is>
          <t>Resolver</t>
        </is>
      </c>
      <c r="E11" s="5" t="inlineStr">
        <is>
          <t>P1</t>
        </is>
      </c>
      <c r="F11" s="5" t="inlineStr">
        <is>
          <t>Automated</t>
        </is>
      </c>
      <c r="G11" s="6" t="inlineStr">
        <is>
          <t>A Deal with no related quote.</t>
        </is>
      </c>
      <c r="H11" s="6" t="inlineStr">
        <is>
          <t>Inspect the Deal stage.</t>
        </is>
      </c>
      <c r="I11" s="6" t="inlineStr">
        <is>
          <t>The Deal reads Qualified. No stage control is offered to the user.</t>
        </is>
      </c>
      <c r="J11" s="6" t="inlineStr">
        <is>
          <t>AC-DEAL-01</t>
        </is>
      </c>
      <c r="K11" s="5" t="inlineStr">
        <is>
          <t>Not run</t>
        </is>
      </c>
      <c r="L11" s="6" t="inlineStr"/>
      <c r="M11" s="5" t="inlineStr"/>
      <c r="N11" s="4" t="inlineStr"/>
      <c r="O11" s="4" t="inlineStr"/>
      <c r="P11" s="4" t="inlineStr"/>
      <c r="Q11" s="6" t="inlineStr"/>
      <c r="R11" s="4" t="inlineStr"/>
      <c r="S11" s="4" t="inlineStr"/>
      <c r="T11" s="4" t="inlineStr"/>
      <c r="U11" s="5" t="inlineStr"/>
      <c r="V11" s="6" t="inlineStr"/>
    </row>
    <row r="12" ht="40" customHeight="1">
      <c r="A12" s="7" t="inlineStr">
        <is>
          <t>1A-08</t>
        </is>
      </c>
      <c r="B12" s="8" t="inlineStr">
        <is>
          <t>Phase 1A</t>
        </is>
      </c>
      <c r="C12" s="8" t="inlineStr">
        <is>
          <t>Phase 1A</t>
        </is>
      </c>
      <c r="D12" s="7" t="inlineStr">
        <is>
          <t>Resolver</t>
        </is>
      </c>
      <c r="E12" s="8" t="inlineStr">
        <is>
          <t>P1</t>
        </is>
      </c>
      <c r="F12" s="8" t="inlineStr">
        <is>
          <t>Automated</t>
        </is>
      </c>
      <c r="G12" s="9" t="inlineStr">
        <is>
          <t>A Deal in Qualified.</t>
        </is>
      </c>
      <c r="H12" s="9" t="inlineStr">
        <is>
          <t>Create the first related quote.</t>
        </is>
      </c>
      <c r="I12" s="9" t="inlineStr">
        <is>
          <t>The Deal moves to In Progress. No screen offers a manual move.</t>
        </is>
      </c>
      <c r="J12" s="9" t="inlineStr">
        <is>
          <t>Locked rule 1</t>
        </is>
      </c>
      <c r="K12" s="8" t="inlineStr">
        <is>
          <t>Not run</t>
        </is>
      </c>
      <c r="L12" s="9" t="inlineStr"/>
      <c r="M12" s="8" t="inlineStr"/>
      <c r="N12" s="7" t="inlineStr"/>
      <c r="O12" s="7" t="inlineStr"/>
      <c r="P12" s="7" t="inlineStr"/>
      <c r="Q12" s="9" t="inlineStr"/>
      <c r="R12" s="7" t="inlineStr"/>
      <c r="S12" s="7" t="inlineStr"/>
      <c r="T12" s="7" t="inlineStr"/>
      <c r="U12" s="8" t="inlineStr"/>
      <c r="V12" s="9" t="inlineStr"/>
    </row>
    <row r="13" ht="40" customHeight="1">
      <c r="A13" s="4" t="inlineStr">
        <is>
          <t>1A-09</t>
        </is>
      </c>
      <c r="B13" s="5" t="inlineStr">
        <is>
          <t>Phase 1A</t>
        </is>
      </c>
      <c r="C13" s="5" t="inlineStr">
        <is>
          <t>Phase 1A</t>
        </is>
      </c>
      <c r="D13" s="4" t="inlineStr">
        <is>
          <t>Resolver</t>
        </is>
      </c>
      <c r="E13" s="5" t="inlineStr">
        <is>
          <t>P1</t>
        </is>
      </c>
      <c r="F13" s="5" t="inlineStr">
        <is>
          <t>Automated</t>
        </is>
      </c>
      <c r="G13" s="6" t="inlineStr">
        <is>
          <t>A draft quote; quote review enabled.</t>
        </is>
      </c>
      <c r="H13" s="6" t="inlineStr">
        <is>
          <t>Submit the quote for review.</t>
        </is>
      </c>
      <c r="I13" s="6" t="inlineStr">
        <is>
          <t>The Deal moves to In Review, the history records the trigger, and no other Deal is affected.</t>
        </is>
      </c>
      <c r="J13" s="6" t="inlineStr">
        <is>
          <t>AC-DEAL-01</t>
        </is>
      </c>
      <c r="K13" s="5" t="inlineStr">
        <is>
          <t>Not run</t>
        </is>
      </c>
      <c r="L13" s="6" t="inlineStr"/>
      <c r="M13" s="5" t="inlineStr"/>
      <c r="N13" s="4" t="inlineStr"/>
      <c r="O13" s="4" t="inlineStr"/>
      <c r="P13" s="4" t="inlineStr"/>
      <c r="Q13" s="6" t="inlineStr"/>
      <c r="R13" s="4" t="inlineStr"/>
      <c r="S13" s="4" t="inlineStr"/>
      <c r="T13" s="4" t="inlineStr"/>
      <c r="U13" s="5" t="inlineStr"/>
      <c r="V13" s="6" t="inlineStr"/>
    </row>
    <row r="14" ht="40" customHeight="1">
      <c r="A14" s="7" t="inlineStr">
        <is>
          <t>1A-10</t>
        </is>
      </c>
      <c r="B14" s="8" t="inlineStr">
        <is>
          <t>Phase 1A</t>
        </is>
      </c>
      <c r="C14" s="8" t="inlineStr">
        <is>
          <t>Phase 1A</t>
        </is>
      </c>
      <c r="D14" s="7" t="inlineStr">
        <is>
          <t>Resolver</t>
        </is>
      </c>
      <c r="E14" s="8" t="inlineStr">
        <is>
          <t>P1</t>
        </is>
      </c>
      <c r="F14" s="8" t="inlineStr">
        <is>
          <t>Automated</t>
        </is>
      </c>
      <c r="G14" s="9" t="inlineStr">
        <is>
          <t>A quote in review.</t>
        </is>
      </c>
      <c r="H14" s="9" t="inlineStr">
        <is>
          <t>Reviewer passes the quote.</t>
        </is>
      </c>
      <c r="I14" s="9" t="inlineStr">
        <is>
          <t>The Deal moves to Passed Review and the history records who passed it and when.</t>
        </is>
      </c>
      <c r="J14" s="9" t="inlineStr">
        <is>
          <t>AC-DEAL-01</t>
        </is>
      </c>
      <c r="K14" s="8" t="inlineStr">
        <is>
          <t>Not run</t>
        </is>
      </c>
      <c r="L14" s="9" t="inlineStr"/>
      <c r="M14" s="8" t="inlineStr"/>
      <c r="N14" s="7" t="inlineStr"/>
      <c r="O14" s="7" t="inlineStr"/>
      <c r="P14" s="7" t="inlineStr"/>
      <c r="Q14" s="9" t="inlineStr"/>
      <c r="R14" s="7" t="inlineStr"/>
      <c r="S14" s="7" t="inlineStr"/>
      <c r="T14" s="7" t="inlineStr"/>
      <c r="U14" s="8" t="inlineStr"/>
      <c r="V14" s="9" t="inlineStr"/>
    </row>
    <row r="15" ht="40" customHeight="1">
      <c r="A15" s="4" t="inlineStr">
        <is>
          <t>1A-11</t>
        </is>
      </c>
      <c r="B15" s="5" t="inlineStr">
        <is>
          <t>Phase 1A</t>
        </is>
      </c>
      <c r="C15" s="5" t="inlineStr">
        <is>
          <t>Phase 1A</t>
        </is>
      </c>
      <c r="D15" s="4" t="inlineStr">
        <is>
          <t>Resolver</t>
        </is>
      </c>
      <c r="E15" s="5" t="inlineStr">
        <is>
          <t>P1</t>
        </is>
      </c>
      <c r="F15" s="5" t="inlineStr">
        <is>
          <t>Automated</t>
        </is>
      </c>
      <c r="G15" s="6" t="inlineStr">
        <is>
          <t>A quote that passed review.</t>
        </is>
      </c>
      <c r="H15" s="6" t="inlineStr">
        <is>
          <t>Send the quote to the client.</t>
        </is>
      </c>
      <c r="I15" s="6" t="inlineStr">
        <is>
          <t>The Deal moves to Sent and the sent date is recorded against the quote.</t>
        </is>
      </c>
      <c r="J15" s="6" t="inlineStr">
        <is>
          <t>AC-DEAL-01</t>
        </is>
      </c>
      <c r="K15" s="5" t="inlineStr">
        <is>
          <t>Not run</t>
        </is>
      </c>
      <c r="L15" s="6" t="inlineStr"/>
      <c r="M15" s="5" t="inlineStr"/>
      <c r="N15" s="4" t="inlineStr"/>
      <c r="O15" s="4" t="inlineStr"/>
      <c r="P15" s="4" t="inlineStr"/>
      <c r="Q15" s="6" t="inlineStr"/>
      <c r="R15" s="4" t="inlineStr"/>
      <c r="S15" s="4" t="inlineStr"/>
      <c r="T15" s="4" t="inlineStr"/>
      <c r="U15" s="5" t="inlineStr"/>
      <c r="V15" s="6" t="inlineStr"/>
    </row>
    <row r="16" ht="40" customHeight="1">
      <c r="A16" s="7" t="inlineStr">
        <is>
          <t>1A-12</t>
        </is>
      </c>
      <c r="B16" s="8" t="inlineStr">
        <is>
          <t>Phase 1A</t>
        </is>
      </c>
      <c r="C16" s="8" t="inlineStr">
        <is>
          <t>Phase 1A</t>
        </is>
      </c>
      <c r="D16" s="7" t="inlineStr">
        <is>
          <t>Resolver</t>
        </is>
      </c>
      <c r="E16" s="8" t="inlineStr">
        <is>
          <t>P1</t>
        </is>
      </c>
      <c r="F16" s="8" t="inlineStr">
        <is>
          <t>Automated</t>
        </is>
      </c>
      <c r="G16" s="9" t="inlineStr">
        <is>
          <t>Quote review DISABLED for the organisation.</t>
        </is>
      </c>
      <c r="H16" s="9" t="inlineStr">
        <is>
          <t>Send a quote directly from In Progress.</t>
        </is>
      </c>
      <c r="I16" s="9" t="inlineStr">
        <is>
          <t>The Deal moves straight to Sent. In Review and Passed Review never appear.</t>
        </is>
      </c>
      <c r="J16" s="9" t="inlineStr">
        <is>
          <t>A6 / FR-12</t>
        </is>
      </c>
      <c r="K16" s="8" t="inlineStr">
        <is>
          <t>Not run</t>
        </is>
      </c>
      <c r="L16" s="9" t="inlineStr"/>
      <c r="M16" s="8" t="inlineStr"/>
      <c r="N16" s="7" t="inlineStr"/>
      <c r="O16" s="7" t="inlineStr"/>
      <c r="P16" s="7" t="inlineStr"/>
      <c r="Q16" s="9" t="inlineStr"/>
      <c r="R16" s="7" t="inlineStr"/>
      <c r="S16" s="7" t="inlineStr"/>
      <c r="T16" s="7" t="inlineStr"/>
      <c r="U16" s="8" t="inlineStr"/>
      <c r="V16" s="9" t="inlineStr"/>
    </row>
    <row r="17" ht="40" customHeight="1">
      <c r="A17" s="4" t="inlineStr">
        <is>
          <t>1A-13</t>
        </is>
      </c>
      <c r="B17" s="5" t="inlineStr">
        <is>
          <t>Phase 1A</t>
        </is>
      </c>
      <c r="C17" s="5" t="inlineStr">
        <is>
          <t>Phase 1A</t>
        </is>
      </c>
      <c r="D17" s="4" t="inlineStr">
        <is>
          <t>Resolver</t>
        </is>
      </c>
      <c r="E17" s="5" t="inlineStr">
        <is>
          <t>P1</t>
        </is>
      </c>
      <c r="F17" s="5" t="inlineStr">
        <is>
          <t>Automated</t>
        </is>
      </c>
      <c r="G17" s="6" t="inlineStr">
        <is>
          <t>A quote in review.</t>
        </is>
      </c>
      <c r="H17" s="6" t="inlineStr">
        <is>
          <t>Reviewer requests changes.</t>
        </is>
      </c>
      <c r="I17" s="6" t="inlineStr">
        <is>
          <t>The Deal returns to In Progress. The history records the reason as changes requested, and the quote is editable again.</t>
        </is>
      </c>
      <c r="J17" s="6" t="inlineStr">
        <is>
          <t>A6</t>
        </is>
      </c>
      <c r="K17" s="5" t="inlineStr">
        <is>
          <t>Not run</t>
        </is>
      </c>
      <c r="L17" s="6" t="inlineStr"/>
      <c r="M17" s="5" t="inlineStr"/>
      <c r="N17" s="4" t="inlineStr"/>
      <c r="O17" s="4" t="inlineStr"/>
      <c r="P17" s="4" t="inlineStr"/>
      <c r="Q17" s="6" t="inlineStr"/>
      <c r="R17" s="4" t="inlineStr"/>
      <c r="S17" s="4" t="inlineStr"/>
      <c r="T17" s="4" t="inlineStr"/>
      <c r="U17" s="5" t="inlineStr"/>
      <c r="V17" s="6" t="inlineStr"/>
    </row>
    <row r="18" ht="40" customHeight="1">
      <c r="A18" s="7" t="inlineStr">
        <is>
          <t>1A-14</t>
        </is>
      </c>
      <c r="B18" s="8" t="inlineStr">
        <is>
          <t>Phase 1A</t>
        </is>
      </c>
      <c r="C18" s="8" t="inlineStr">
        <is>
          <t>Phase 1A</t>
        </is>
      </c>
      <c r="D18" s="7" t="inlineStr">
        <is>
          <t>Resolver</t>
        </is>
      </c>
      <c r="E18" s="8" t="inlineStr">
        <is>
          <t>P1</t>
        </is>
      </c>
      <c r="F18" s="8" t="inlineStr">
        <is>
          <t>Automated</t>
        </is>
      </c>
      <c r="G18" s="9" t="inlineStr">
        <is>
          <t>A Deal with a quote in state Accepted.</t>
        </is>
      </c>
      <c r="H18" s="9" t="inlineStr">
        <is>
          <t>Inspect the Deal stage.</t>
        </is>
      </c>
      <c r="I18" s="9" t="inlineStr">
        <is>
          <t>The Deal reads Won. The accepted quote is marked as the winner and the signed value is locked to its amount.</t>
        </is>
      </c>
      <c r="J18" s="9" t="inlineStr">
        <is>
          <t>Locked rule 2 / AC-DEAL-01</t>
        </is>
      </c>
      <c r="K18" s="8" t="inlineStr">
        <is>
          <t>Not run</t>
        </is>
      </c>
      <c r="L18" s="9" t="inlineStr"/>
      <c r="M18" s="8" t="inlineStr"/>
      <c r="N18" s="7" t="inlineStr"/>
      <c r="O18" s="7" t="inlineStr"/>
      <c r="P18" s="7" t="inlineStr"/>
      <c r="Q18" s="9" t="inlineStr"/>
      <c r="R18" s="7" t="inlineStr"/>
      <c r="S18" s="7" t="inlineStr"/>
      <c r="T18" s="7" t="inlineStr"/>
      <c r="U18" s="8" t="inlineStr"/>
      <c r="V18" s="9" t="inlineStr"/>
    </row>
    <row r="19" ht="40" customHeight="1">
      <c r="A19" s="4" t="inlineStr">
        <is>
          <t>1A-15</t>
        </is>
      </c>
      <c r="B19" s="5" t="inlineStr">
        <is>
          <t>Phase 1A</t>
        </is>
      </c>
      <c r="C19" s="5" t="inlineStr">
        <is>
          <t>Phase 1A</t>
        </is>
      </c>
      <c r="D19" s="4" t="inlineStr">
        <is>
          <t>Resolver</t>
        </is>
      </c>
      <c r="E19" s="5" t="inlineStr">
        <is>
          <t>P1</t>
        </is>
      </c>
      <c r="F19" s="5" t="inlineStr">
        <is>
          <t>Automated</t>
        </is>
      </c>
      <c r="G19" s="6" t="inlineStr">
        <is>
          <t>A Deal with a quote in state Complete.</t>
        </is>
      </c>
      <c r="H19" s="6" t="inlineStr">
        <is>
          <t>Inspect the Deal stage.</t>
        </is>
      </c>
      <c r="I19" s="6" t="inlineStr">
        <is>
          <t>The Deal reads Won. Complete maps to Won exactly as Accepted does, with no difference in stage or value handling.</t>
        </is>
      </c>
      <c r="J19" s="6" t="inlineStr">
        <is>
          <t>Locked rule 2</t>
        </is>
      </c>
      <c r="K19" s="5" t="inlineStr">
        <is>
          <t>Not run</t>
        </is>
      </c>
      <c r="L19" s="6" t="inlineStr"/>
      <c r="M19" s="5" t="inlineStr"/>
      <c r="N19" s="4" t="inlineStr"/>
      <c r="O19" s="4" t="inlineStr"/>
      <c r="P19" s="4" t="inlineStr"/>
      <c r="Q19" s="6" t="inlineStr"/>
      <c r="R19" s="4" t="inlineStr"/>
      <c r="S19" s="4" t="inlineStr"/>
      <c r="T19" s="4" t="inlineStr"/>
      <c r="U19" s="5" t="inlineStr"/>
      <c r="V19" s="6" t="inlineStr"/>
    </row>
    <row r="20" ht="40" customHeight="1">
      <c r="A20" s="7" t="inlineStr">
        <is>
          <t>1A-16</t>
        </is>
      </c>
      <c r="B20" s="8" t="inlineStr">
        <is>
          <t>Phase 1A</t>
        </is>
      </c>
      <c r="C20" s="8" t="inlineStr">
        <is>
          <t>Phase 1A</t>
        </is>
      </c>
      <c r="D20" s="7" t="inlineStr">
        <is>
          <t>Resolver</t>
        </is>
      </c>
      <c r="E20" s="8" t="inlineStr">
        <is>
          <t>P1</t>
        </is>
      </c>
      <c r="F20" s="8" t="inlineStr">
        <is>
          <t>Automated</t>
        </is>
      </c>
      <c r="G20" s="9" t="inlineStr">
        <is>
          <t>Three live quotes in one alternative group.</t>
        </is>
      </c>
      <c r="H20" s="9" t="inlineStr">
        <is>
          <t>Accept one.</t>
        </is>
      </c>
      <c r="I20" s="9" t="inlineStr">
        <is>
          <t>The Deal becomes Won immediately. The other two are system-rejected and stay in history.</t>
        </is>
      </c>
      <c r="J20" s="9" t="inlineStr">
        <is>
          <t>Locked rule 2 / AC-DEAL-07</t>
        </is>
      </c>
      <c r="K20" s="8" t="inlineStr">
        <is>
          <t>Not run</t>
        </is>
      </c>
      <c r="L20" s="9" t="inlineStr"/>
      <c r="M20" s="8" t="inlineStr"/>
      <c r="N20" s="7" t="inlineStr"/>
      <c r="O20" s="7" t="inlineStr"/>
      <c r="P20" s="7" t="inlineStr"/>
      <c r="Q20" s="9" t="inlineStr"/>
      <c r="R20" s="7" t="inlineStr"/>
      <c r="S20" s="7" t="inlineStr"/>
      <c r="T20" s="7" t="inlineStr"/>
      <c r="U20" s="8" t="inlineStr"/>
      <c r="V20" s="9" t="inlineStr"/>
    </row>
    <row r="21" ht="40" customHeight="1">
      <c r="A21" s="4" t="inlineStr">
        <is>
          <t>1A-17</t>
        </is>
      </c>
      <c r="B21" s="5" t="inlineStr">
        <is>
          <t>Phase 1A</t>
        </is>
      </c>
      <c r="C21" s="5" t="inlineStr">
        <is>
          <t>Phase 1A</t>
        </is>
      </c>
      <c r="D21" s="4" t="inlineStr">
        <is>
          <t>Resolver</t>
        </is>
      </c>
      <c r="E21" s="5" t="inlineStr">
        <is>
          <t>P1</t>
        </is>
      </c>
      <c r="F21" s="5" t="inlineStr">
        <is>
          <t>Automated</t>
        </is>
      </c>
      <c r="G21" s="6" t="inlineStr">
        <is>
          <t>A Won Deal with another group unresolved.</t>
        </is>
      </c>
      <c r="H21" s="6" t="inlineStr">
        <is>
          <t>Resolve the remaining group.</t>
        </is>
      </c>
      <c r="I21" s="6" t="inlineStr">
        <is>
          <t>The signed value updates to include the newly resolved group. The stage stays Won and the history shows a value change, not a stage change.</t>
        </is>
      </c>
      <c r="J21" s="6" t="inlineStr">
        <is>
          <t>Locked rule 2</t>
        </is>
      </c>
      <c r="K21" s="5" t="inlineStr">
        <is>
          <t>Not run</t>
        </is>
      </c>
      <c r="L21" s="6" t="inlineStr"/>
      <c r="M21" s="5" t="inlineStr"/>
      <c r="N21" s="4" t="inlineStr"/>
      <c r="O21" s="4" t="inlineStr"/>
      <c r="P21" s="4" t="inlineStr"/>
      <c r="Q21" s="6" t="inlineStr"/>
      <c r="R21" s="4" t="inlineStr"/>
      <c r="S21" s="4" t="inlineStr"/>
      <c r="T21" s="4" t="inlineStr"/>
      <c r="U21" s="5" t="inlineStr"/>
      <c r="V21" s="6" t="inlineStr"/>
    </row>
    <row r="22" ht="40" customHeight="1">
      <c r="A22" s="7" t="inlineStr">
        <is>
          <t>1A-18</t>
        </is>
      </c>
      <c r="B22" s="8" t="inlineStr">
        <is>
          <t>Phase 1A</t>
        </is>
      </c>
      <c r="C22" s="8" t="inlineStr">
        <is>
          <t>Phase 1A</t>
        </is>
      </c>
      <c r="D22" s="7" t="inlineStr">
        <is>
          <t>Resolver</t>
        </is>
      </c>
      <c r="E22" s="8" t="inlineStr">
        <is>
          <t>P1</t>
        </is>
      </c>
      <c r="F22" s="8" t="inlineStr">
        <is>
          <t>Automated</t>
        </is>
      </c>
      <c r="G22" s="9" t="inlineStr">
        <is>
          <t>Every related quote cancelled.</t>
        </is>
      </c>
      <c r="H22" s="9" t="inlineStr">
        <is>
          <t>Inspect the Deal.</t>
        </is>
      </c>
      <c r="I22" s="9" t="inlineStr">
        <is>
          <t>The Deal shows Archived as a status, not a stage. It is excluded from win-rate reporting and does not appear as Lost.</t>
        </is>
      </c>
      <c r="J22" s="9" t="inlineStr">
        <is>
          <t>AC-DEAL-02</t>
        </is>
      </c>
      <c r="K22" s="8" t="inlineStr">
        <is>
          <t>Not run</t>
        </is>
      </c>
      <c r="L22" s="9" t="inlineStr"/>
      <c r="M22" s="8" t="inlineStr"/>
      <c r="N22" s="7" t="inlineStr"/>
      <c r="O22" s="7" t="inlineStr"/>
      <c r="P22" s="7" t="inlineStr"/>
      <c r="Q22" s="9" t="inlineStr"/>
      <c r="R22" s="7" t="inlineStr"/>
      <c r="S22" s="7" t="inlineStr"/>
      <c r="T22" s="7" t="inlineStr"/>
      <c r="U22" s="8" t="inlineStr"/>
      <c r="V22" s="9" t="inlineStr"/>
    </row>
    <row r="23" ht="40" customHeight="1">
      <c r="A23" s="4" t="inlineStr">
        <is>
          <t>1A-19</t>
        </is>
      </c>
      <c r="B23" s="5" t="inlineStr">
        <is>
          <t>Phase 1A</t>
        </is>
      </c>
      <c r="C23" s="5" t="inlineStr">
        <is>
          <t>Phase 1A</t>
        </is>
      </c>
      <c r="D23" s="4" t="inlineStr">
        <is>
          <t>Resolver</t>
        </is>
      </c>
      <c r="E23" s="5" t="inlineStr">
        <is>
          <t>P1</t>
        </is>
      </c>
      <c r="F23" s="5" t="inlineStr">
        <is>
          <t>Automated</t>
        </is>
      </c>
      <c r="G23" s="6" t="inlineStr">
        <is>
          <t>Two sent quotes, both expired.</t>
        </is>
      </c>
      <c r="H23" s="6" t="inlineStr">
        <is>
          <t>Inspect the Deal.</t>
        </is>
      </c>
      <c r="I23" s="6" t="inlineStr">
        <is>
          <t>Lost, derived. Sales is asked for a reason; supplying it does not change the outcome.</t>
        </is>
      </c>
      <c r="J23" s="6" t="inlineStr">
        <is>
          <t>Locked rule 3</t>
        </is>
      </c>
      <c r="K23" s="5" t="inlineStr">
        <is>
          <t>Not run</t>
        </is>
      </c>
      <c r="L23" s="6" t="inlineStr"/>
      <c r="M23" s="5" t="inlineStr"/>
      <c r="N23" s="4" t="inlineStr"/>
      <c r="O23" s="4" t="inlineStr"/>
      <c r="P23" s="4" t="inlineStr"/>
      <c r="Q23" s="6" t="inlineStr"/>
      <c r="R23" s="4" t="inlineStr"/>
      <c r="S23" s="4" t="inlineStr"/>
      <c r="T23" s="4" t="inlineStr"/>
      <c r="U23" s="5" t="inlineStr"/>
      <c r="V23" s="6" t="inlineStr"/>
    </row>
    <row r="24" ht="40" customHeight="1">
      <c r="A24" s="7" t="inlineStr">
        <is>
          <t>1A-20</t>
        </is>
      </c>
      <c r="B24" s="8" t="inlineStr">
        <is>
          <t>Phase 1A</t>
        </is>
      </c>
      <c r="C24" s="8" t="inlineStr">
        <is>
          <t>Phase 1A</t>
        </is>
      </c>
      <c r="D24" s="7" t="inlineStr">
        <is>
          <t>Resolver</t>
        </is>
      </c>
      <c r="E24" s="8" t="inlineStr">
        <is>
          <t>P1</t>
        </is>
      </c>
      <c r="F24" s="8" t="inlineStr">
        <is>
          <t>Automated</t>
        </is>
      </c>
      <c r="G24" s="9" t="inlineStr">
        <is>
          <t>Mixed: Q1 cancelled, Q2 expired, Q3 draft.</t>
        </is>
      </c>
      <c r="H24" s="9" t="inlineStr">
        <is>
          <t>Inspect the Deal stage.</t>
        </is>
      </c>
      <c r="I24" s="9" t="inlineStr">
        <is>
          <t>In Progress. Q3 is the only quote that still qualifies.</t>
        </is>
      </c>
      <c r="J24" s="9" t="inlineStr">
        <is>
          <t>AC-DEAL-01</t>
        </is>
      </c>
      <c r="K24" s="8" t="inlineStr">
        <is>
          <t>Not run</t>
        </is>
      </c>
      <c r="L24" s="9" t="inlineStr"/>
      <c r="M24" s="8" t="inlineStr"/>
      <c r="N24" s="7" t="inlineStr"/>
      <c r="O24" s="7" t="inlineStr"/>
      <c r="P24" s="7" t="inlineStr"/>
      <c r="Q24" s="9" t="inlineStr"/>
      <c r="R24" s="7" t="inlineStr"/>
      <c r="S24" s="7" t="inlineStr"/>
      <c r="T24" s="7" t="inlineStr"/>
      <c r="U24" s="8" t="inlineStr"/>
      <c r="V24" s="9" t="inlineStr"/>
    </row>
    <row r="25" ht="40" customHeight="1">
      <c r="A25" s="4" t="inlineStr">
        <is>
          <t>1A-21</t>
        </is>
      </c>
      <c r="B25" s="5" t="inlineStr">
        <is>
          <t>Phase 1A</t>
        </is>
      </c>
      <c r="C25" s="5" t="inlineStr">
        <is>
          <t>Phase 1A</t>
        </is>
      </c>
      <c r="D25" s="4" t="inlineStr">
        <is>
          <t>Resolver</t>
        </is>
      </c>
      <c r="E25" s="5" t="inlineStr">
        <is>
          <t>P1</t>
        </is>
      </c>
      <c r="F25" s="5" t="inlineStr">
        <is>
          <t>Automated</t>
        </is>
      </c>
      <c r="G25" s="6" t="inlineStr">
        <is>
          <t>A Deal with one sample quote only.</t>
        </is>
      </c>
      <c r="H25" s="6" t="inlineStr">
        <is>
          <t>Inspect the Deal stage.</t>
        </is>
      </c>
      <c r="I25" s="6" t="inlineStr">
        <is>
          <t>The sample quote is ignored entirely. The Deal reads Qualified and the sample does not appear in the Deal's quote count.</t>
        </is>
      </c>
      <c r="J25" s="6" t="inlineStr">
        <is>
          <t>AC-DEAL-04</t>
        </is>
      </c>
      <c r="K25" s="5" t="inlineStr">
        <is>
          <t>Not run</t>
        </is>
      </c>
      <c r="L25" s="6" t="inlineStr"/>
      <c r="M25" s="5" t="inlineStr"/>
      <c r="N25" s="4" t="inlineStr"/>
      <c r="O25" s="4" t="inlineStr"/>
      <c r="P25" s="4" t="inlineStr"/>
      <c r="Q25" s="6" t="inlineStr"/>
      <c r="R25" s="4" t="inlineStr"/>
      <c r="S25" s="4" t="inlineStr"/>
      <c r="T25" s="4" t="inlineStr"/>
      <c r="U25" s="5" t="inlineStr"/>
      <c r="V25" s="6" t="inlineStr"/>
    </row>
    <row r="26" ht="40" customHeight="1">
      <c r="A26" s="7" t="inlineStr">
        <is>
          <t>1A-22</t>
        </is>
      </c>
      <c r="B26" s="8" t="inlineStr">
        <is>
          <t>Phase 1A</t>
        </is>
      </c>
      <c r="C26" s="8" t="inlineStr">
        <is>
          <t>Phase 1A</t>
        </is>
      </c>
      <c r="D26" s="7" t="inlineStr">
        <is>
          <t>Resolver</t>
        </is>
      </c>
      <c r="E26" s="8" t="inlineStr">
        <is>
          <t>P1</t>
        </is>
      </c>
      <c r="F26" s="8" t="inlineStr">
        <is>
          <t>Automated</t>
        </is>
      </c>
      <c r="G26" s="9" t="inlineStr">
        <is>
          <t>A Deal with one template quote only.</t>
        </is>
      </c>
      <c r="H26" s="9" t="inlineStr">
        <is>
          <t>Inspect the Deal stage.</t>
        </is>
      </c>
      <c r="I26" s="9" t="inlineStr">
        <is>
          <t>The template quote is ignored entirely. The Deal reads Qualified and the template does not appear in the Deal's quote count.</t>
        </is>
      </c>
      <c r="J26" s="9" t="inlineStr">
        <is>
          <t>AC-DEAL-04</t>
        </is>
      </c>
      <c r="K26" s="8" t="inlineStr">
        <is>
          <t>Not run</t>
        </is>
      </c>
      <c r="L26" s="9" t="inlineStr"/>
      <c r="M26" s="8" t="inlineStr"/>
      <c r="N26" s="7" t="inlineStr"/>
      <c r="O26" s="7" t="inlineStr"/>
      <c r="P26" s="7" t="inlineStr"/>
      <c r="Q26" s="9" t="inlineStr"/>
      <c r="R26" s="7" t="inlineStr"/>
      <c r="S26" s="7" t="inlineStr"/>
      <c r="T26" s="7" t="inlineStr"/>
      <c r="U26" s="8" t="inlineStr"/>
      <c r="V26" s="9" t="inlineStr"/>
    </row>
    <row r="27" ht="40" customHeight="1">
      <c r="A27" s="4" t="inlineStr">
        <is>
          <t>1A-23</t>
        </is>
      </c>
      <c r="B27" s="5" t="inlineStr">
        <is>
          <t>Phase 1A</t>
        </is>
      </c>
      <c r="C27" s="5" t="inlineStr">
        <is>
          <t>Phase 1A</t>
        </is>
      </c>
      <c r="D27" s="4" t="inlineStr">
        <is>
          <t>Resolver</t>
        </is>
      </c>
      <c r="E27" s="5" t="inlineStr">
        <is>
          <t>P1</t>
        </is>
      </c>
      <c r="F27" s="5" t="inlineStr">
        <is>
          <t>Automated</t>
        </is>
      </c>
      <c r="G27" s="6" t="inlineStr">
        <is>
          <t>A Deal with one archived quote only.</t>
        </is>
      </c>
      <c r="H27" s="6" t="inlineStr">
        <is>
          <t>Inspect the Deal stage.</t>
        </is>
      </c>
      <c r="I27" s="6" t="inlineStr">
        <is>
          <t>The archived quote is ignored entirely. The Deal reads Qualified and the archived quote does not appear in the Deal's quote count.</t>
        </is>
      </c>
      <c r="J27" s="6" t="inlineStr">
        <is>
          <t>AC-DEAL-04</t>
        </is>
      </c>
      <c r="K27" s="5" t="inlineStr">
        <is>
          <t>Not run</t>
        </is>
      </c>
      <c r="L27" s="6" t="inlineStr"/>
      <c r="M27" s="5" t="inlineStr"/>
      <c r="N27" s="4" t="inlineStr"/>
      <c r="O27" s="4" t="inlineStr"/>
      <c r="P27" s="4" t="inlineStr"/>
      <c r="Q27" s="6" t="inlineStr"/>
      <c r="R27" s="4" t="inlineStr"/>
      <c r="S27" s="4" t="inlineStr"/>
      <c r="T27" s="4" t="inlineStr"/>
      <c r="U27" s="5" t="inlineStr"/>
      <c r="V27" s="6" t="inlineStr"/>
    </row>
    <row r="28" ht="40" customHeight="1">
      <c r="A28" s="7" t="inlineStr">
        <is>
          <t>1A-24</t>
        </is>
      </c>
      <c r="B28" s="8" t="inlineStr">
        <is>
          <t>Phase 1A</t>
        </is>
      </c>
      <c r="C28" s="8" t="inlineStr">
        <is>
          <t>Phase 1A</t>
        </is>
      </c>
      <c r="D28" s="7" t="inlineStr">
        <is>
          <t>Resolver</t>
        </is>
      </c>
      <c r="E28" s="8" t="inlineStr">
        <is>
          <t>P1</t>
        </is>
      </c>
      <c r="F28" s="8" t="inlineStr">
        <is>
          <t>Automated</t>
        </is>
      </c>
      <c r="G28" s="9" t="inlineStr">
        <is>
          <t>Latest revision is NOT the active one.</t>
        </is>
      </c>
      <c r="H28" s="9" t="inlineStr">
        <is>
          <t>Inspect the Deal stage.</t>
        </is>
      </c>
      <c r="I28" s="9" t="inlineStr">
        <is>
          <t>No stage derives from it. Only latest AND active counts.</t>
        </is>
      </c>
      <c r="J28" s="9" t="inlineStr">
        <is>
          <t>AC-DEAL-05</t>
        </is>
      </c>
      <c r="K28" s="8" t="inlineStr">
        <is>
          <t>Not run</t>
        </is>
      </c>
      <c r="L28" s="9" t="inlineStr"/>
      <c r="M28" s="8" t="inlineStr"/>
      <c r="N28" s="7" t="inlineStr"/>
      <c r="O28" s="7" t="inlineStr"/>
      <c r="P28" s="7" t="inlineStr"/>
      <c r="Q28" s="9" t="inlineStr"/>
      <c r="R28" s="7" t="inlineStr"/>
      <c r="S28" s="7" t="inlineStr"/>
      <c r="T28" s="7" t="inlineStr"/>
      <c r="U28" s="8" t="inlineStr"/>
      <c r="V28" s="9" t="inlineStr"/>
    </row>
    <row r="29" ht="40" customHeight="1">
      <c r="A29" s="4" t="inlineStr">
        <is>
          <t>1A-25</t>
        </is>
      </c>
      <c r="B29" s="5" t="inlineStr">
        <is>
          <t>Phase 1A</t>
        </is>
      </c>
      <c r="C29" s="5" t="inlineStr">
        <is>
          <t>Phase 1A</t>
        </is>
      </c>
      <c r="D29" s="4" t="inlineStr">
        <is>
          <t>Resolver</t>
        </is>
      </c>
      <c r="E29" s="5" t="inlineStr">
        <is>
          <t>P1</t>
        </is>
      </c>
      <c r="F29" s="5" t="inlineStr">
        <is>
          <t>Automated</t>
        </is>
      </c>
      <c r="G29" s="6" t="inlineStr">
        <is>
          <t>Active revision is not the latest.</t>
        </is>
      </c>
      <c r="H29" s="6" t="inlineStr">
        <is>
          <t>Inspect the Deal stage.</t>
        </is>
      </c>
      <c r="I29" s="6" t="inlineStr">
        <is>
          <t>Neither revision qualifies, so the family contributes nothing. The Deal reads whatever the other families produce, or Qualified if there are none.</t>
        </is>
      </c>
      <c r="J29" s="6" t="inlineStr">
        <is>
          <t>AC-DEAL-05</t>
        </is>
      </c>
      <c r="K29" s="5" t="inlineStr">
        <is>
          <t>Not run</t>
        </is>
      </c>
      <c r="L29" s="6" t="inlineStr"/>
      <c r="M29" s="5" t="inlineStr"/>
      <c r="N29" s="4" t="inlineStr"/>
      <c r="O29" s="4" t="inlineStr"/>
      <c r="P29" s="4" t="inlineStr"/>
      <c r="Q29" s="6" t="inlineStr"/>
      <c r="R29" s="4" t="inlineStr"/>
      <c r="S29" s="4" t="inlineStr"/>
      <c r="T29" s="4" t="inlineStr"/>
      <c r="U29" s="5" t="inlineStr"/>
      <c r="V29" s="6" t="inlineStr"/>
    </row>
    <row r="30" ht="40" customHeight="1">
      <c r="A30" s="7" t="inlineStr">
        <is>
          <t>1A-26</t>
        </is>
      </c>
      <c r="B30" s="8" t="inlineStr">
        <is>
          <t>Phase 1A</t>
        </is>
      </c>
      <c r="C30" s="8" t="inlineStr">
        <is>
          <t>Phase 1A</t>
        </is>
      </c>
      <c r="D30" s="7" t="inlineStr">
        <is>
          <t>Resolver</t>
        </is>
      </c>
      <c r="E30" s="8" t="inlineStr">
        <is>
          <t>P1</t>
        </is>
      </c>
      <c r="F30" s="8" t="inlineStr">
        <is>
          <t>Automated</t>
        </is>
      </c>
      <c r="G30" s="9" t="inlineStr">
        <is>
          <t>A sent quote and a draft quote. D1 answered yes.</t>
        </is>
      </c>
      <c r="H30" s="9" t="inlineStr">
        <is>
          <t>Let the sent quote expire.</t>
        </is>
      </c>
      <c r="I30" s="9" t="inlineStr">
        <is>
          <t>The Deal steps back to In Progress and the reason is written to history.</t>
        </is>
      </c>
      <c r="J30" s="9" t="inlineStr">
        <is>
          <t>FR-24 (cond. D1)</t>
        </is>
      </c>
      <c r="K30" s="8" t="inlineStr">
        <is>
          <t>Not run</t>
        </is>
      </c>
      <c r="L30" s="9" t="inlineStr"/>
      <c r="M30" s="8" t="inlineStr"/>
      <c r="N30" s="7" t="inlineStr"/>
      <c r="O30" s="7" t="inlineStr"/>
      <c r="P30" s="7" t="inlineStr"/>
      <c r="Q30" s="9" t="inlineStr"/>
      <c r="R30" s="7" t="inlineStr"/>
      <c r="S30" s="7" t="inlineStr"/>
      <c r="T30" s="7" t="inlineStr"/>
      <c r="U30" s="8" t="inlineStr"/>
      <c r="V30" s="9" t="inlineStr"/>
    </row>
    <row r="31" ht="40" customHeight="1">
      <c r="A31" s="4" t="inlineStr">
        <is>
          <t>1A-27</t>
        </is>
      </c>
      <c r="B31" s="5" t="inlineStr">
        <is>
          <t>Phase 1A</t>
        </is>
      </c>
      <c r="C31" s="5" t="inlineStr">
        <is>
          <t>Phase 1A</t>
        </is>
      </c>
      <c r="D31" s="4" t="inlineStr">
        <is>
          <t>Resolver</t>
        </is>
      </c>
      <c r="E31" s="5" t="inlineStr">
        <is>
          <t>P2</t>
        </is>
      </c>
      <c r="F31" s="5" t="inlineStr">
        <is>
          <t>Manual</t>
        </is>
      </c>
      <c r="G31" s="6" t="inlineStr">
        <is>
          <t>A Won Deal with an accepted quote.</t>
        </is>
      </c>
      <c r="H31" s="6" t="inlineStr">
        <is>
          <t>Cancel or reopen the accepted quote.</t>
        </is>
      </c>
      <c r="I31" s="6" t="inlineStr">
        <is>
          <t>Behaviour matches the final D1 ruling; the outcome is recorded either way.</t>
        </is>
      </c>
      <c r="J31" s="6" t="inlineStr">
        <is>
          <t>D1</t>
        </is>
      </c>
      <c r="K31" s="5" t="inlineStr">
        <is>
          <t>Not run</t>
        </is>
      </c>
      <c r="L31" s="6" t="inlineStr"/>
      <c r="M31" s="5" t="inlineStr"/>
      <c r="N31" s="4" t="inlineStr"/>
      <c r="O31" s="4" t="inlineStr"/>
      <c r="P31" s="4" t="inlineStr"/>
      <c r="Q31" s="6" t="inlineStr"/>
      <c r="R31" s="4" t="inlineStr"/>
      <c r="S31" s="4" t="inlineStr"/>
      <c r="T31" s="4" t="inlineStr"/>
      <c r="U31" s="5" t="inlineStr"/>
      <c r="V31" s="6" t="inlineStr"/>
    </row>
    <row r="32" ht="40" customHeight="1">
      <c r="A32" s="7" t="inlineStr">
        <is>
          <t>1A-28</t>
        </is>
      </c>
      <c r="B32" s="8" t="inlineStr">
        <is>
          <t>Phase 1A</t>
        </is>
      </c>
      <c r="C32" s="8" t="inlineStr">
        <is>
          <t>Phase 1A</t>
        </is>
      </c>
      <c r="D32" s="7" t="inlineStr">
        <is>
          <t>Resolver</t>
        </is>
      </c>
      <c r="E32" s="8" t="inlineStr">
        <is>
          <t>P2</t>
        </is>
      </c>
      <c r="F32" s="8" t="inlineStr">
        <is>
          <t>Manual</t>
        </is>
      </c>
      <c r="G32" s="9" t="inlineStr">
        <is>
          <t>A Deal with an over-quota quote.</t>
        </is>
      </c>
      <c r="H32" s="9" t="inlineStr">
        <is>
          <t>Inspect the Deal stage.</t>
        </is>
      </c>
      <c r="I32" s="9" t="inlineStr">
        <is>
          <t>Behaviour matches the recorded D5 ruling, and whichever way it is ruled the Deal's stage and its quote count agree with each other.</t>
        </is>
      </c>
      <c r="J32" s="9" t="inlineStr">
        <is>
          <t>D5</t>
        </is>
      </c>
      <c r="K32" s="8" t="inlineStr">
        <is>
          <t>Not run</t>
        </is>
      </c>
      <c r="L32" s="9" t="inlineStr"/>
      <c r="M32" s="8" t="inlineStr"/>
      <c r="N32" s="7" t="inlineStr"/>
      <c r="O32" s="7" t="inlineStr"/>
      <c r="P32" s="7" t="inlineStr"/>
      <c r="Q32" s="9" t="inlineStr"/>
      <c r="R32" s="7" t="inlineStr"/>
      <c r="S32" s="7" t="inlineStr"/>
      <c r="T32" s="7" t="inlineStr"/>
      <c r="U32" s="8" t="inlineStr"/>
      <c r="V32" s="9" t="inlineStr"/>
    </row>
    <row r="33" ht="40" customHeight="1">
      <c r="A33" s="4" t="inlineStr">
        <is>
          <t>1A-29</t>
        </is>
      </c>
      <c r="B33" s="5" t="inlineStr">
        <is>
          <t>Phase 1A</t>
        </is>
      </c>
      <c r="C33" s="5" t="inlineStr">
        <is>
          <t>Phase 1A</t>
        </is>
      </c>
      <c r="D33" s="4" t="inlineStr">
        <is>
          <t>Resolver</t>
        </is>
      </c>
      <c r="E33" s="5" t="inlineStr">
        <is>
          <t>P2</t>
        </is>
      </c>
      <c r="F33" s="5" t="inlineStr">
        <is>
          <t>Manual</t>
        </is>
      </c>
      <c r="G33" s="6" t="inlineStr">
        <is>
          <t>A Deal with a sales order.</t>
        </is>
      </c>
      <c r="H33" s="6" t="inlineStr">
        <is>
          <t>Inspect the Deal stage.</t>
        </is>
      </c>
      <c r="I33" s="6" t="inlineStr">
        <is>
          <t>Behaviour matches the recorded D5 ruling, and whichever way it is ruled the Deal's stage and its quote count agree with each other.</t>
        </is>
      </c>
      <c r="J33" s="6" t="inlineStr">
        <is>
          <t>D5</t>
        </is>
      </c>
      <c r="K33" s="5" t="inlineStr">
        <is>
          <t>Not run</t>
        </is>
      </c>
      <c r="L33" s="6" t="inlineStr"/>
      <c r="M33" s="5" t="inlineStr"/>
      <c r="N33" s="4" t="inlineStr"/>
      <c r="O33" s="4" t="inlineStr"/>
      <c r="P33" s="4" t="inlineStr"/>
      <c r="Q33" s="6" t="inlineStr"/>
      <c r="R33" s="4" t="inlineStr"/>
      <c r="S33" s="4" t="inlineStr"/>
      <c r="T33" s="4" t="inlineStr"/>
      <c r="U33" s="5" t="inlineStr"/>
      <c r="V33" s="6" t="inlineStr"/>
    </row>
    <row r="34" ht="40" customHeight="1">
      <c r="A34" s="7" t="inlineStr">
        <is>
          <t>1A-30</t>
        </is>
      </c>
      <c r="B34" s="8" t="inlineStr">
        <is>
          <t>Phase 1A</t>
        </is>
      </c>
      <c r="C34" s="8" t="inlineStr">
        <is>
          <t>Phase 1A</t>
        </is>
      </c>
      <c r="D34" s="7" t="inlineStr">
        <is>
          <t>Engagement</t>
        </is>
      </c>
      <c r="E34" s="8" t="inlineStr">
        <is>
          <t>P1</t>
        </is>
      </c>
      <c r="F34" s="8" t="inlineStr">
        <is>
          <t>Automated</t>
        </is>
      </c>
      <c r="G34" s="9" t="inlineStr">
        <is>
          <t>Q1 sent and viewed, Q2 draft.</t>
        </is>
      </c>
      <c r="H34" s="9" t="inlineStr">
        <is>
          <t>Read the viewed count.</t>
        </is>
      </c>
      <c r="I34" s="9" t="inlineStr">
        <is>
          <t>The Deal card reads '1 of 1 sent quotes viewed'. The draft is excluded from the count on the right.</t>
        </is>
      </c>
      <c r="J34" s="9" t="inlineStr">
        <is>
          <t>AC-DEAL-03</t>
        </is>
      </c>
      <c r="K34" s="8" t="inlineStr">
        <is>
          <t>Not run</t>
        </is>
      </c>
      <c r="L34" s="9" t="inlineStr"/>
      <c r="M34" s="8" t="inlineStr"/>
      <c r="N34" s="7" t="inlineStr"/>
      <c r="O34" s="7" t="inlineStr"/>
      <c r="P34" s="7" t="inlineStr"/>
      <c r="Q34" s="9" t="inlineStr"/>
      <c r="R34" s="7" t="inlineStr"/>
      <c r="S34" s="7" t="inlineStr"/>
      <c r="T34" s="7" t="inlineStr"/>
      <c r="U34" s="8" t="inlineStr"/>
      <c r="V34" s="9" t="inlineStr"/>
    </row>
    <row r="35" ht="40" customHeight="1">
      <c r="A35" s="4" t="inlineStr">
        <is>
          <t>1A-31</t>
        </is>
      </c>
      <c r="B35" s="5" t="inlineStr">
        <is>
          <t>Phase 1A</t>
        </is>
      </c>
      <c r="C35" s="5" t="inlineStr">
        <is>
          <t>Phase 1A</t>
        </is>
      </c>
      <c r="D35" s="4" t="inlineStr">
        <is>
          <t>Engagement</t>
        </is>
      </c>
      <c r="E35" s="5" t="inlineStr">
        <is>
          <t>P1</t>
        </is>
      </c>
      <c r="F35" s="5" t="inlineStr">
        <is>
          <t>Automated</t>
        </is>
      </c>
      <c r="G35" s="6" t="inlineStr">
        <is>
          <t>Q1 sent viewed, Q2 sent not viewed, Q3 sent viewed.</t>
        </is>
      </c>
      <c r="H35" s="6" t="inlineStr">
        <is>
          <t>Read the viewed count.</t>
        </is>
      </c>
      <c r="I35" s="6" t="inlineStr">
        <is>
          <t>The Deal card reads '2 of 3 sent quotes viewed'.</t>
        </is>
      </c>
      <c r="J35" s="6" t="inlineStr">
        <is>
          <t>AC-DEAL-03</t>
        </is>
      </c>
      <c r="K35" s="5" t="inlineStr">
        <is>
          <t>Not run</t>
        </is>
      </c>
      <c r="L35" s="6" t="inlineStr"/>
      <c r="M35" s="5" t="inlineStr"/>
      <c r="N35" s="4" t="inlineStr"/>
      <c r="O35" s="4" t="inlineStr"/>
      <c r="P35" s="4" t="inlineStr"/>
      <c r="Q35" s="6" t="inlineStr"/>
      <c r="R35" s="4" t="inlineStr"/>
      <c r="S35" s="4" t="inlineStr"/>
      <c r="T35" s="4" t="inlineStr"/>
      <c r="U35" s="5" t="inlineStr"/>
      <c r="V35" s="6" t="inlineStr"/>
    </row>
    <row r="36" ht="40" customHeight="1">
      <c r="A36" s="7" t="inlineStr">
        <is>
          <t>1A-32</t>
        </is>
      </c>
      <c r="B36" s="8" t="inlineStr">
        <is>
          <t>Phase 1A</t>
        </is>
      </c>
      <c r="C36" s="8" t="inlineStr">
        <is>
          <t>Phase 1A</t>
        </is>
      </c>
      <c r="D36" s="7" t="inlineStr">
        <is>
          <t>Engagement</t>
        </is>
      </c>
      <c r="E36" s="8" t="inlineStr">
        <is>
          <t>P1</t>
        </is>
      </c>
      <c r="F36" s="8" t="inlineStr">
        <is>
          <t>Automated</t>
        </is>
      </c>
      <c r="G36" s="9" t="inlineStr">
        <is>
          <t>Q1 expired, Q2 sent not viewed.</t>
        </is>
      </c>
      <c r="H36" s="9" t="inlineStr">
        <is>
          <t>Read the viewed count.</t>
        </is>
      </c>
      <c r="I36" s="9" t="inlineStr">
        <is>
          <t>The Deal card reads '0 of 1 sent quotes viewed'. The expired quote is excluded from the count on the right.</t>
        </is>
      </c>
      <c r="J36" s="9" t="inlineStr">
        <is>
          <t>AC-DEAL-03</t>
        </is>
      </c>
      <c r="K36" s="8" t="inlineStr">
        <is>
          <t>Not run</t>
        </is>
      </c>
      <c r="L36" s="9" t="inlineStr"/>
      <c r="M36" s="8" t="inlineStr"/>
      <c r="N36" s="7" t="inlineStr"/>
      <c r="O36" s="7" t="inlineStr"/>
      <c r="P36" s="7" t="inlineStr"/>
      <c r="Q36" s="9" t="inlineStr"/>
      <c r="R36" s="7" t="inlineStr"/>
      <c r="S36" s="7" t="inlineStr"/>
      <c r="T36" s="7" t="inlineStr"/>
      <c r="U36" s="8" t="inlineStr"/>
      <c r="V36" s="9" t="inlineStr"/>
    </row>
    <row r="37" ht="40" customHeight="1">
      <c r="A37" s="4" t="inlineStr">
        <is>
          <t>1A-33</t>
        </is>
      </c>
      <c r="B37" s="5" t="inlineStr">
        <is>
          <t>Phase 1A</t>
        </is>
      </c>
      <c r="C37" s="5" t="inlineStr">
        <is>
          <t>Phase 1A</t>
        </is>
      </c>
      <c r="D37" s="4" t="inlineStr">
        <is>
          <t>Engagement</t>
        </is>
      </c>
      <c r="E37" s="5" t="inlineStr">
        <is>
          <t>P1</t>
        </is>
      </c>
      <c r="F37" s="5" t="inlineStr">
        <is>
          <t>Automated</t>
        </is>
      </c>
      <c r="G37" s="6" t="inlineStr">
        <is>
          <t>A signed change order on a sent quote.</t>
        </is>
      </c>
      <c r="H37" s="6" t="inlineStr">
        <is>
          <t>Read the viewed count.</t>
        </is>
      </c>
      <c r="I37" s="6" t="inlineStr">
        <is>
          <t>The change order appears in neither number. Only client-facing quotes are counted.</t>
        </is>
      </c>
      <c r="J37" s="6" t="inlineStr">
        <is>
          <t>FR-32</t>
        </is>
      </c>
      <c r="K37" s="5" t="inlineStr">
        <is>
          <t>Not run</t>
        </is>
      </c>
      <c r="L37" s="6" t="inlineStr"/>
      <c r="M37" s="5" t="inlineStr"/>
      <c r="N37" s="4" t="inlineStr"/>
      <c r="O37" s="4" t="inlineStr"/>
      <c r="P37" s="4" t="inlineStr"/>
      <c r="Q37" s="6" t="inlineStr"/>
      <c r="R37" s="4" t="inlineStr"/>
      <c r="S37" s="4" t="inlineStr"/>
      <c r="T37" s="4" t="inlineStr"/>
      <c r="U37" s="5" t="inlineStr"/>
      <c r="V37" s="6" t="inlineStr"/>
    </row>
    <row r="38" ht="40" customHeight="1">
      <c r="A38" s="7" t="inlineStr">
        <is>
          <t>1A-34</t>
        </is>
      </c>
      <c r="B38" s="8" t="inlineStr">
        <is>
          <t>Phase 1A</t>
        </is>
      </c>
      <c r="C38" s="8" t="inlineStr">
        <is>
          <t>Phase 1A</t>
        </is>
      </c>
      <c r="D38" s="7" t="inlineStr">
        <is>
          <t>Alternatives</t>
        </is>
      </c>
      <c r="E38" s="8" t="inlineStr">
        <is>
          <t>P1</t>
        </is>
      </c>
      <c r="F38" s="8" t="inlineStr">
        <is>
          <t>Automated</t>
        </is>
      </c>
      <c r="G38" s="9" t="inlineStr">
        <is>
          <t>Two ungrouped quotes on one Deal.</t>
        </is>
      </c>
      <c r="H38" s="9" t="inlineStr">
        <is>
          <t>Inspect the Deal value.</t>
        </is>
      </c>
      <c r="I38" s="9" t="inlineStr">
        <is>
          <t>Both quotes contribute to the Deal value, and the total equals their sum.</t>
        </is>
      </c>
      <c r="J38" s="9" t="inlineStr">
        <is>
          <t>AC-DEAL-08</t>
        </is>
      </c>
      <c r="K38" s="8" t="inlineStr">
        <is>
          <t>Not run</t>
        </is>
      </c>
      <c r="L38" s="9" t="inlineStr"/>
      <c r="M38" s="8" t="inlineStr"/>
      <c r="N38" s="7" t="inlineStr"/>
      <c r="O38" s="7" t="inlineStr"/>
      <c r="P38" s="7" t="inlineStr"/>
      <c r="Q38" s="9" t="inlineStr"/>
      <c r="R38" s="7" t="inlineStr"/>
      <c r="S38" s="7" t="inlineStr"/>
      <c r="T38" s="7" t="inlineStr"/>
      <c r="U38" s="8" t="inlineStr"/>
      <c r="V38" s="9" t="inlineStr"/>
    </row>
    <row r="39" ht="40" customHeight="1">
      <c r="A39" s="4" t="inlineStr">
        <is>
          <t>1A-35</t>
        </is>
      </c>
      <c r="B39" s="5" t="inlineStr">
        <is>
          <t>Phase 1A</t>
        </is>
      </c>
      <c r="C39" s="5" t="inlineStr">
        <is>
          <t>Phase 1A</t>
        </is>
      </c>
      <c r="D39" s="4" t="inlineStr">
        <is>
          <t>Alternatives</t>
        </is>
      </c>
      <c r="E39" s="5" t="inlineStr">
        <is>
          <t>P1</t>
        </is>
      </c>
      <c r="F39" s="5" t="inlineStr">
        <is>
          <t>Automated</t>
        </is>
      </c>
      <c r="G39" s="6" t="inlineStr">
        <is>
          <t>Two quotes in one alternative group.</t>
        </is>
      </c>
      <c r="H39" s="6" t="inlineStr">
        <is>
          <t>Accept one.</t>
        </is>
      </c>
      <c r="I39" s="6" t="inlineStr">
        <is>
          <t>The sibling is system-rejected, removed from value, still in the audit trail.</t>
        </is>
      </c>
      <c r="J39" s="6" t="inlineStr">
        <is>
          <t>AC-DEAL-07</t>
        </is>
      </c>
      <c r="K39" s="5" t="inlineStr">
        <is>
          <t>Not run</t>
        </is>
      </c>
      <c r="L39" s="6" t="inlineStr"/>
      <c r="M39" s="5" t="inlineStr"/>
      <c r="N39" s="4" t="inlineStr"/>
      <c r="O39" s="4" t="inlineStr"/>
      <c r="P39" s="4" t="inlineStr"/>
      <c r="Q39" s="6" t="inlineStr"/>
      <c r="R39" s="4" t="inlineStr"/>
      <c r="S39" s="4" t="inlineStr"/>
      <c r="T39" s="4" t="inlineStr"/>
      <c r="U39" s="5" t="inlineStr"/>
      <c r="V39" s="6" t="inlineStr"/>
    </row>
    <row r="40" ht="40" customHeight="1">
      <c r="A40" s="7" t="inlineStr">
        <is>
          <t>1A-36</t>
        </is>
      </c>
      <c r="B40" s="8" t="inlineStr">
        <is>
          <t>Phase 1A</t>
        </is>
      </c>
      <c r="C40" s="8" t="inlineStr">
        <is>
          <t>Phase 1A</t>
        </is>
      </c>
      <c r="D40" s="7" t="inlineStr">
        <is>
          <t>Alternatives</t>
        </is>
      </c>
      <c r="E40" s="8" t="inlineStr">
        <is>
          <t>P1</t>
        </is>
      </c>
      <c r="F40" s="8" t="inlineStr">
        <is>
          <t>Manual</t>
        </is>
      </c>
      <c r="G40" s="9" t="inlineStr">
        <is>
          <t>A quote already accepted inside a group.</t>
        </is>
      </c>
      <c r="H40" s="9" t="inlineStr">
        <is>
          <t>Try to move it out of the group.</t>
        </is>
      </c>
      <c r="I40" s="9" t="inlineStr">
        <is>
          <t>The move is refused, with a message explaining that a resolved quote cannot be regrouped. The group membership is unchanged.</t>
        </is>
      </c>
      <c r="J40" s="9" t="inlineStr">
        <is>
          <t>FR-30</t>
        </is>
      </c>
      <c r="K40" s="8" t="inlineStr">
        <is>
          <t>Not run</t>
        </is>
      </c>
      <c r="L40" s="9" t="inlineStr"/>
      <c r="M40" s="8" t="inlineStr"/>
      <c r="N40" s="7" t="inlineStr"/>
      <c r="O40" s="7" t="inlineStr"/>
      <c r="P40" s="7" t="inlineStr"/>
      <c r="Q40" s="9" t="inlineStr"/>
      <c r="R40" s="7" t="inlineStr"/>
      <c r="S40" s="7" t="inlineStr"/>
      <c r="T40" s="7" t="inlineStr"/>
      <c r="U40" s="8" t="inlineStr"/>
      <c r="V40" s="9" t="inlineStr"/>
    </row>
    <row r="41" ht="40" customHeight="1">
      <c r="A41" s="4" t="inlineStr">
        <is>
          <t>1A-37</t>
        </is>
      </c>
      <c r="B41" s="5" t="inlineStr">
        <is>
          <t>Phase 1A</t>
        </is>
      </c>
      <c r="C41" s="5" t="inlineStr">
        <is>
          <t>Phase 1A</t>
        </is>
      </c>
      <c r="D41" s="4" t="inlineStr">
        <is>
          <t>Alternatives</t>
        </is>
      </c>
      <c r="E41" s="5" t="inlineStr">
        <is>
          <t>P1</t>
        </is>
      </c>
      <c r="F41" s="5" t="inlineStr">
        <is>
          <t>Automated</t>
        </is>
      </c>
      <c r="G41" s="6" t="inlineStr">
        <is>
          <t>Two groups, one accepted quote in each.</t>
        </is>
      </c>
      <c r="H41" s="6" t="inlineStr">
        <is>
          <t>Inspect the Deal value.</t>
        </is>
      </c>
      <c r="I41" s="6" t="inlineStr">
        <is>
          <t>The Deal value equals the sum of the two accepted amounts. Neither group's rejected siblings contribute.</t>
        </is>
      </c>
      <c r="J41" s="6" t="inlineStr">
        <is>
          <t>AC-DEAL-08</t>
        </is>
      </c>
      <c r="K41" s="5" t="inlineStr">
        <is>
          <t>Not run</t>
        </is>
      </c>
      <c r="L41" s="6" t="inlineStr"/>
      <c r="M41" s="5" t="inlineStr"/>
      <c r="N41" s="4" t="inlineStr"/>
      <c r="O41" s="4" t="inlineStr"/>
      <c r="P41" s="4" t="inlineStr"/>
      <c r="Q41" s="6" t="inlineStr"/>
      <c r="R41" s="4" t="inlineStr"/>
      <c r="S41" s="4" t="inlineStr"/>
      <c r="T41" s="4" t="inlineStr"/>
      <c r="U41" s="5" t="inlineStr"/>
      <c r="V41" s="6" t="inlineStr"/>
    </row>
    <row r="42" ht="40" customHeight="1">
      <c r="A42" s="7" t="inlineStr">
        <is>
          <t>1A-38</t>
        </is>
      </c>
      <c r="B42" s="8" t="inlineStr">
        <is>
          <t>Phase 1A</t>
        </is>
      </c>
      <c r="C42" s="8" t="inlineStr">
        <is>
          <t>Phase 1A</t>
        </is>
      </c>
      <c r="D42" s="7" t="inlineStr">
        <is>
          <t>Change order</t>
        </is>
      </c>
      <c r="E42" s="8" t="inlineStr">
        <is>
          <t>P1</t>
        </is>
      </c>
      <c r="F42" s="8" t="inlineStr">
        <is>
          <t>Manual</t>
        </is>
      </c>
      <c r="G42" s="9" t="inlineStr">
        <is>
          <t>A quote with an accepted revision.</t>
        </is>
      </c>
      <c r="H42" s="9" t="inlineStr">
        <is>
          <t>Raise a change order.</t>
        </is>
      </c>
      <c r="I42" s="9" t="inlineStr">
        <is>
          <t>Raised against the accepted revision, which is the signed baseline.</t>
        </is>
      </c>
      <c r="J42" s="9" t="inlineStr">
        <is>
          <t>A7</t>
        </is>
      </c>
      <c r="K42" s="8" t="inlineStr">
        <is>
          <t>Not run</t>
        </is>
      </c>
      <c r="L42" s="9" t="inlineStr"/>
      <c r="M42" s="8" t="inlineStr"/>
      <c r="N42" s="7" t="inlineStr"/>
      <c r="O42" s="7" t="inlineStr"/>
      <c r="P42" s="7" t="inlineStr"/>
      <c r="Q42" s="9" t="inlineStr"/>
      <c r="R42" s="7" t="inlineStr"/>
      <c r="S42" s="7" t="inlineStr"/>
      <c r="T42" s="7" t="inlineStr"/>
      <c r="U42" s="8" t="inlineStr"/>
      <c r="V42" s="9" t="inlineStr"/>
    </row>
    <row r="43" ht="40" customHeight="1">
      <c r="A43" s="4" t="inlineStr">
        <is>
          <t>1A-39</t>
        </is>
      </c>
      <c r="B43" s="5" t="inlineStr">
        <is>
          <t>Phase 1A</t>
        </is>
      </c>
      <c r="C43" s="5" t="inlineStr">
        <is>
          <t>Phase 1A</t>
        </is>
      </c>
      <c r="D43" s="4" t="inlineStr">
        <is>
          <t>Change order</t>
        </is>
      </c>
      <c r="E43" s="5" t="inlineStr">
        <is>
          <t>P1</t>
        </is>
      </c>
      <c r="F43" s="5" t="inlineStr">
        <is>
          <t>Manual</t>
        </is>
      </c>
      <c r="G43" s="6" t="inlineStr">
        <is>
          <t>A change order is with the client.</t>
        </is>
      </c>
      <c r="H43" s="6" t="inlineStr">
        <is>
          <t>Raise a second one on the same quote.</t>
        </is>
      </c>
      <c r="I43" s="6" t="inlineStr">
        <is>
          <t>Raising is refused. A message explains that one change order is already with the client, and names it. The existing one is untouched.</t>
        </is>
      </c>
      <c r="J43" s="6" t="inlineStr">
        <is>
          <t>FR-31 / AC-DEAL-09</t>
        </is>
      </c>
      <c r="K43" s="5" t="inlineStr">
        <is>
          <t>Not run</t>
        </is>
      </c>
      <c r="L43" s="6" t="inlineStr"/>
      <c r="M43" s="5" t="inlineStr"/>
      <c r="N43" s="4" t="inlineStr"/>
      <c r="O43" s="4" t="inlineStr"/>
      <c r="P43" s="4" t="inlineStr"/>
      <c r="Q43" s="6" t="inlineStr"/>
      <c r="R43" s="4" t="inlineStr"/>
      <c r="S43" s="4" t="inlineStr"/>
      <c r="T43" s="4" t="inlineStr"/>
      <c r="U43" s="5" t="inlineStr"/>
      <c r="V43" s="6" t="inlineStr"/>
    </row>
    <row r="44" ht="40" customHeight="1">
      <c r="A44" s="7" t="inlineStr">
        <is>
          <t>1A-40</t>
        </is>
      </c>
      <c r="B44" s="8" t="inlineStr">
        <is>
          <t>Phase 1A</t>
        </is>
      </c>
      <c r="C44" s="8" t="inlineStr">
        <is>
          <t>Phase 1A</t>
        </is>
      </c>
      <c r="D44" s="7" t="inlineStr">
        <is>
          <t>Change order</t>
        </is>
      </c>
      <c r="E44" s="8" t="inlineStr">
        <is>
          <t>P1</t>
        </is>
      </c>
      <c r="F44" s="8" t="inlineStr">
        <is>
          <t>Automated</t>
        </is>
      </c>
      <c r="G44" s="9" t="inlineStr">
        <is>
          <t>A change order with the client.</t>
        </is>
      </c>
      <c r="H44" s="9" t="inlineStr">
        <is>
          <t>Client signs it.</t>
        </is>
      </c>
      <c r="I44" s="9" t="inlineStr">
        <is>
          <t>It becomes the new signed baseline; its difference is added to the signed value.</t>
        </is>
      </c>
      <c r="J44" s="9" t="inlineStr">
        <is>
          <t>FR-31 / AC-DEAL-10</t>
        </is>
      </c>
      <c r="K44" s="8" t="inlineStr">
        <is>
          <t>Not run</t>
        </is>
      </c>
      <c r="L44" s="9" t="inlineStr"/>
      <c r="M44" s="8" t="inlineStr"/>
      <c r="N44" s="7" t="inlineStr"/>
      <c r="O44" s="7" t="inlineStr"/>
      <c r="P44" s="7" t="inlineStr"/>
      <c r="Q44" s="9" t="inlineStr"/>
      <c r="R44" s="7" t="inlineStr"/>
      <c r="S44" s="7" t="inlineStr"/>
      <c r="T44" s="7" t="inlineStr"/>
      <c r="U44" s="8" t="inlineStr"/>
      <c r="V44" s="9" t="inlineStr"/>
    </row>
    <row r="45" ht="40" customHeight="1">
      <c r="A45" s="4" t="inlineStr">
        <is>
          <t>1A-41</t>
        </is>
      </c>
      <c r="B45" s="5" t="inlineStr">
        <is>
          <t>Phase 1A</t>
        </is>
      </c>
      <c r="C45" s="5" t="inlineStr">
        <is>
          <t>Phase 1A</t>
        </is>
      </c>
      <c r="D45" s="4" t="inlineStr">
        <is>
          <t>Change order</t>
        </is>
      </c>
      <c r="E45" s="5" t="inlineStr">
        <is>
          <t>P1</t>
        </is>
      </c>
      <c r="F45" s="5" t="inlineStr">
        <is>
          <t>Automated</t>
        </is>
      </c>
      <c r="G45" s="6" t="inlineStr">
        <is>
          <t>A change order with the client.</t>
        </is>
      </c>
      <c r="H45" s="6" t="inlineStr">
        <is>
          <t>Reject it.</t>
        </is>
      </c>
      <c r="I45" s="6" t="inlineStr">
        <is>
          <t>It stops contributing to the signed totals. The signed value returns to what it was before the change order was raised, and the rejection is recorded in history.</t>
        </is>
      </c>
      <c r="J45" s="6" t="inlineStr">
        <is>
          <t>FR-31</t>
        </is>
      </c>
      <c r="K45" s="5" t="inlineStr">
        <is>
          <t>Not run</t>
        </is>
      </c>
      <c r="L45" s="6" t="inlineStr"/>
      <c r="M45" s="5" t="inlineStr"/>
      <c r="N45" s="4" t="inlineStr"/>
      <c r="O45" s="4" t="inlineStr"/>
      <c r="P45" s="4" t="inlineStr"/>
      <c r="Q45" s="6" t="inlineStr"/>
      <c r="R45" s="4" t="inlineStr"/>
      <c r="S45" s="4" t="inlineStr"/>
      <c r="T45" s="4" t="inlineStr"/>
      <c r="U45" s="5" t="inlineStr"/>
      <c r="V45" s="6" t="inlineStr"/>
    </row>
    <row r="46" ht="40" customHeight="1">
      <c r="A46" s="7" t="inlineStr">
        <is>
          <t>1A-42</t>
        </is>
      </c>
      <c r="B46" s="8" t="inlineStr">
        <is>
          <t>Phase 1A</t>
        </is>
      </c>
      <c r="C46" s="8" t="inlineStr">
        <is>
          <t>Phase 1A</t>
        </is>
      </c>
      <c r="D46" s="7" t="inlineStr">
        <is>
          <t>Change order</t>
        </is>
      </c>
      <c r="E46" s="8" t="inlineStr">
        <is>
          <t>P1</t>
        </is>
      </c>
      <c r="F46" s="8" t="inlineStr">
        <is>
          <t>Automated</t>
        </is>
      </c>
      <c r="G46" s="9" t="inlineStr">
        <is>
          <t>A Won Deal with a signed change order.</t>
        </is>
      </c>
      <c r="H46" s="9" t="inlineStr">
        <is>
          <t>Inspect stage and value.</t>
        </is>
      </c>
      <c r="I46" s="9" t="inlineStr">
        <is>
          <t>Stage stays Won. Value includes the difference, shown separately from the accepted base.</t>
        </is>
      </c>
      <c r="J46" s="9" t="inlineStr">
        <is>
          <t>AC-DEAL-06</t>
        </is>
      </c>
      <c r="K46" s="8" t="inlineStr">
        <is>
          <t>Not run</t>
        </is>
      </c>
      <c r="L46" s="9" t="inlineStr"/>
      <c r="M46" s="8" t="inlineStr"/>
      <c r="N46" s="7" t="inlineStr"/>
      <c r="O46" s="7" t="inlineStr"/>
      <c r="P46" s="7" t="inlineStr"/>
      <c r="Q46" s="9" t="inlineStr"/>
      <c r="R46" s="7" t="inlineStr"/>
      <c r="S46" s="7" t="inlineStr"/>
      <c r="T46" s="7" t="inlineStr"/>
      <c r="U46" s="8" t="inlineStr"/>
      <c r="V46" s="9" t="inlineStr"/>
    </row>
    <row r="47" ht="40" customHeight="1">
      <c r="A47" s="4" t="inlineStr">
        <is>
          <t>1A-43</t>
        </is>
      </c>
      <c r="B47" s="5" t="inlineStr">
        <is>
          <t>Phase 1A</t>
        </is>
      </c>
      <c r="C47" s="5" t="inlineStr">
        <is>
          <t>Phase 1A</t>
        </is>
      </c>
      <c r="D47" s="4" t="inlineStr">
        <is>
          <t>Change order</t>
        </is>
      </c>
      <c r="E47" s="5" t="inlineStr">
        <is>
          <t>P2</t>
        </is>
      </c>
      <c r="F47" s="5" t="inlineStr">
        <is>
          <t>Manual</t>
        </is>
      </c>
      <c r="G47" s="6" t="inlineStr">
        <is>
          <t>A quote carrying a signed change order.</t>
        </is>
      </c>
      <c r="H47" s="6" t="inlineStr">
        <is>
          <t>Try to unlink the quote.</t>
        </is>
      </c>
      <c r="I47" s="6" t="inlineStr">
        <is>
          <t>Unlinking is refused, with a message explaining that a quote carrying a signed change order cannot be removed from its Deal.</t>
        </is>
      </c>
      <c r="J47" s="6" t="inlineStr">
        <is>
          <t>FR-34</t>
        </is>
      </c>
      <c r="K47" s="5" t="inlineStr">
        <is>
          <t>Not run</t>
        </is>
      </c>
      <c r="L47" s="6" t="inlineStr"/>
      <c r="M47" s="5" t="inlineStr"/>
      <c r="N47" s="4" t="inlineStr"/>
      <c r="O47" s="4" t="inlineStr"/>
      <c r="P47" s="4" t="inlineStr"/>
      <c r="Q47" s="6" t="inlineStr"/>
      <c r="R47" s="4" t="inlineStr"/>
      <c r="S47" s="4" t="inlineStr"/>
      <c r="T47" s="4" t="inlineStr"/>
      <c r="U47" s="5" t="inlineStr"/>
      <c r="V47" s="6" t="inlineStr"/>
    </row>
    <row r="48" ht="40" customHeight="1">
      <c r="A48" s="7" t="inlineStr">
        <is>
          <t>1A-44</t>
        </is>
      </c>
      <c r="B48" s="8" t="inlineStr">
        <is>
          <t>Phase 1A</t>
        </is>
      </c>
      <c r="C48" s="8" t="inlineStr">
        <is>
          <t>Phase 1A</t>
        </is>
      </c>
      <c r="D48" s="7" t="inlineStr">
        <is>
          <t>Value</t>
        </is>
      </c>
      <c r="E48" s="8" t="inlineStr">
        <is>
          <t>P1</t>
        </is>
      </c>
      <c r="F48" s="8" t="inlineStr">
        <is>
          <t>Manual</t>
        </is>
      </c>
      <c r="G48" s="9" t="inlineStr">
        <is>
          <t>A Deal with no linked quotes.</t>
        </is>
      </c>
      <c r="H48" s="9" t="inlineStr">
        <is>
          <t>Inspect the Deal value.</t>
        </is>
      </c>
      <c r="I48" s="9" t="inlineStr">
        <is>
          <t>The manual estimate is used and labelled as an estimate.</t>
        </is>
      </c>
      <c r="J48" s="9" t="inlineStr">
        <is>
          <t>A7</t>
        </is>
      </c>
      <c r="K48" s="8" t="inlineStr">
        <is>
          <t>Not run</t>
        </is>
      </c>
      <c r="L48" s="9" t="inlineStr"/>
      <c r="M48" s="8" t="inlineStr"/>
      <c r="N48" s="7" t="inlineStr"/>
      <c r="O48" s="7" t="inlineStr"/>
      <c r="P48" s="7" t="inlineStr"/>
      <c r="Q48" s="9" t="inlineStr"/>
      <c r="R48" s="7" t="inlineStr"/>
      <c r="S48" s="7" t="inlineStr"/>
      <c r="T48" s="7" t="inlineStr"/>
      <c r="U48" s="8" t="inlineStr"/>
      <c r="V48" s="9" t="inlineStr"/>
    </row>
    <row r="49" ht="40" customHeight="1">
      <c r="A49" s="4" t="inlineStr">
        <is>
          <t>1A-45</t>
        </is>
      </c>
      <c r="B49" s="5" t="inlineStr">
        <is>
          <t>Phase 1A</t>
        </is>
      </c>
      <c r="C49" s="5" t="inlineStr">
        <is>
          <t>Phase 1A</t>
        </is>
      </c>
      <c r="D49" s="4" t="inlineStr">
        <is>
          <t>Value</t>
        </is>
      </c>
      <c r="E49" s="5" t="inlineStr">
        <is>
          <t>P1</t>
        </is>
      </c>
      <c r="F49" s="5" t="inlineStr">
        <is>
          <t>Automated</t>
        </is>
      </c>
      <c r="G49" s="6" t="inlineStr">
        <is>
          <t>A Won Deal.</t>
        </is>
      </c>
      <c r="H49" s="6" t="inlineStr">
        <is>
          <t>Inspect the money panel.</t>
        </is>
      </c>
      <c r="I49" s="6" t="inlineStr">
        <is>
          <t>Signed = accepted net totals plus change-order differences. Draft invoice value is separate and not inside invoiced.</t>
        </is>
      </c>
      <c r="J49" s="6" t="inlineStr">
        <is>
          <t>FR-29 / A7</t>
        </is>
      </c>
      <c r="K49" s="5" t="inlineStr">
        <is>
          <t>Not run</t>
        </is>
      </c>
      <c r="L49" s="6" t="inlineStr"/>
      <c r="M49" s="5" t="inlineStr"/>
      <c r="N49" s="4" t="inlineStr"/>
      <c r="O49" s="4" t="inlineStr"/>
      <c r="P49" s="4" t="inlineStr"/>
      <c r="Q49" s="6" t="inlineStr"/>
      <c r="R49" s="4" t="inlineStr"/>
      <c r="S49" s="4" t="inlineStr"/>
      <c r="T49" s="4" t="inlineStr"/>
      <c r="U49" s="5" t="inlineStr"/>
      <c r="V49" s="6" t="inlineStr"/>
    </row>
    <row r="50" ht="40" customHeight="1">
      <c r="A50" s="7" t="inlineStr">
        <is>
          <t>1A-46</t>
        </is>
      </c>
      <c r="B50" s="8" t="inlineStr">
        <is>
          <t>Phase 1A</t>
        </is>
      </c>
      <c r="C50" s="8" t="inlineStr">
        <is>
          <t>Phase 1A</t>
        </is>
      </c>
      <c r="D50" s="7" t="inlineStr">
        <is>
          <t>Value</t>
        </is>
      </c>
      <c r="E50" s="8" t="inlineStr">
        <is>
          <t>P2</t>
        </is>
      </c>
      <c r="F50" s="8" t="inlineStr">
        <is>
          <t>Manual</t>
        </is>
      </c>
      <c r="G50" s="9" t="inlineStr">
        <is>
          <t>A Deal with quotes and change orders.</t>
        </is>
      </c>
      <c r="H50" s="9" t="inlineStr">
        <is>
          <t>Inspect the four margin figures.</t>
        </is>
      </c>
      <c r="I50" s="9" t="inlineStr">
        <is>
          <t>Deal, signed, product and labour margin all present, each stating its basis.</t>
        </is>
      </c>
      <c r="J50" s="9" t="inlineStr">
        <is>
          <t>C20</t>
        </is>
      </c>
      <c r="K50" s="8" t="inlineStr">
        <is>
          <t>Not run</t>
        </is>
      </c>
      <c r="L50" s="9" t="inlineStr"/>
      <c r="M50" s="8" t="inlineStr"/>
      <c r="N50" s="7" t="inlineStr"/>
      <c r="O50" s="7" t="inlineStr"/>
      <c r="P50" s="7" t="inlineStr"/>
      <c r="Q50" s="9" t="inlineStr"/>
      <c r="R50" s="7" t="inlineStr"/>
      <c r="S50" s="7" t="inlineStr"/>
      <c r="T50" s="7" t="inlineStr"/>
      <c r="U50" s="8" t="inlineStr"/>
      <c r="V50" s="9" t="inlineStr"/>
    </row>
    <row r="51" ht="40" customHeight="1">
      <c r="A51" s="4" t="inlineStr">
        <is>
          <t>1A-47</t>
        </is>
      </c>
      <c r="B51" s="5" t="inlineStr">
        <is>
          <t>Phase 1A</t>
        </is>
      </c>
      <c r="C51" s="5" t="inlineStr">
        <is>
          <t>Phase 1A</t>
        </is>
      </c>
      <c r="D51" s="4" t="inlineStr">
        <is>
          <t>Visibility</t>
        </is>
      </c>
      <c r="E51" s="5" t="inlineStr">
        <is>
          <t>P1</t>
        </is>
      </c>
      <c r="F51" s="5" t="inlineStr">
        <is>
          <t>Manual</t>
        </is>
      </c>
      <c r="G51" s="6" t="inlineStr">
        <is>
          <t>Users in two companies; records in both.</t>
        </is>
      </c>
      <c r="H51" s="6" t="inlineStr">
        <is>
          <t>Sign in as a user limited to one company.</t>
        </is>
      </c>
      <c r="I51" s="6" t="inlineStr">
        <is>
          <t>Only that company's Leads, Deals and Automations are visible.</t>
        </is>
      </c>
      <c r="J51" s="6" t="inlineStr">
        <is>
          <t>FR-38 / AC-BLD-04</t>
        </is>
      </c>
      <c r="K51" s="5" t="inlineStr">
        <is>
          <t>Not run</t>
        </is>
      </c>
      <c r="L51" s="6" t="inlineStr"/>
      <c r="M51" s="5" t="inlineStr"/>
      <c r="N51" s="4" t="inlineStr"/>
      <c r="O51" s="4" t="inlineStr"/>
      <c r="P51" s="4" t="inlineStr"/>
      <c r="Q51" s="6" t="inlineStr"/>
      <c r="R51" s="4" t="inlineStr"/>
      <c r="S51" s="4" t="inlineStr"/>
      <c r="T51" s="4" t="inlineStr"/>
      <c r="U51" s="5" t="inlineStr"/>
      <c r="V51" s="6" t="inlineStr"/>
    </row>
    <row r="52" ht="40" customHeight="1">
      <c r="A52" s="7" t="inlineStr">
        <is>
          <t>1A-48</t>
        </is>
      </c>
      <c r="B52" s="8" t="inlineStr">
        <is>
          <t>Phase 1A</t>
        </is>
      </c>
      <c r="C52" s="8" t="inlineStr">
        <is>
          <t>Phase 1A</t>
        </is>
      </c>
      <c r="D52" s="7" t="inlineStr">
        <is>
          <t>Visibility</t>
        </is>
      </c>
      <c r="E52" s="8" t="inlineStr">
        <is>
          <t>P1</t>
        </is>
      </c>
      <c r="F52" s="8" t="inlineStr">
        <is>
          <t>Manual</t>
        </is>
      </c>
      <c r="G52" s="9" t="inlineStr">
        <is>
          <t>A user who owns nothing and is on no team.</t>
        </is>
      </c>
      <c r="H52" s="9" t="inlineStr">
        <is>
          <t>Open the Deal list.</t>
        </is>
      </c>
      <c r="I52" s="9" t="inlineStr">
        <is>
          <t>The list is empty apart from anything explicitly shared. No Deal from another owner, team or company appears.</t>
        </is>
      </c>
      <c r="J52" s="9" t="inlineStr">
        <is>
          <t>FR-38</t>
        </is>
      </c>
      <c r="K52" s="8" t="inlineStr">
        <is>
          <t>Not run</t>
        </is>
      </c>
      <c r="L52" s="9" t="inlineStr"/>
      <c r="M52" s="8" t="inlineStr"/>
      <c r="N52" s="7" t="inlineStr"/>
      <c r="O52" s="7" t="inlineStr"/>
      <c r="P52" s="7" t="inlineStr"/>
      <c r="Q52" s="9" t="inlineStr"/>
      <c r="R52" s="7" t="inlineStr"/>
      <c r="S52" s="7" t="inlineStr"/>
      <c r="T52" s="7" t="inlineStr"/>
      <c r="U52" s="8" t="inlineStr"/>
      <c r="V52" s="9" t="inlineStr"/>
    </row>
    <row r="53" ht="40" customHeight="1">
      <c r="A53" s="4" t="inlineStr">
        <is>
          <t>1A-49</t>
        </is>
      </c>
      <c r="B53" s="5" t="inlineStr">
        <is>
          <t>Phase 1A</t>
        </is>
      </c>
      <c r="C53" s="5" t="inlineStr">
        <is>
          <t>Phase 1A</t>
        </is>
      </c>
      <c r="D53" s="4" t="inlineStr">
        <is>
          <t>Visibility</t>
        </is>
      </c>
      <c r="E53" s="5" t="inlineStr">
        <is>
          <t>P2</t>
        </is>
      </c>
      <c r="F53" s="5" t="inlineStr">
        <is>
          <t>Manual</t>
        </is>
      </c>
      <c r="G53" s="6" t="inlineStr">
        <is>
          <t>Deals across companies and stages.</t>
        </is>
      </c>
      <c r="H53" s="6" t="inlineStr">
        <is>
          <t>Apply pipeline, company and stage filters, then sort.</t>
        </is>
      </c>
      <c r="I53" s="6" t="inlineStr">
        <is>
          <t>Basic filtering and sorting work. No forecast-specific control is present.</t>
        </is>
      </c>
      <c r="J53" s="6" t="inlineStr">
        <is>
          <t>AC-RUN-07</t>
        </is>
      </c>
      <c r="K53" s="5" t="inlineStr">
        <is>
          <t>Not run</t>
        </is>
      </c>
      <c r="L53" s="6" t="inlineStr"/>
      <c r="M53" s="5" t="inlineStr"/>
      <c r="N53" s="4" t="inlineStr"/>
      <c r="O53" s="4" t="inlineStr"/>
      <c r="P53" s="4" t="inlineStr"/>
      <c r="Q53" s="6" t="inlineStr"/>
      <c r="R53" s="4" t="inlineStr"/>
      <c r="S53" s="4" t="inlineStr"/>
      <c r="T53" s="4" t="inlineStr"/>
      <c r="U53" s="5" t="inlineStr"/>
      <c r="V53" s="6" t="inlineStr"/>
    </row>
    <row r="54" ht="40" customHeight="1">
      <c r="A54" s="7" t="inlineStr">
        <is>
          <t>1A-50</t>
        </is>
      </c>
      <c r="B54" s="8" t="inlineStr">
        <is>
          <t>Phase 1A</t>
        </is>
      </c>
      <c r="C54" s="8" t="inlineStr">
        <is>
          <t>Phase 1A</t>
        </is>
      </c>
      <c r="D54" s="7" t="inlineStr">
        <is>
          <t>Tenancy</t>
        </is>
      </c>
      <c r="E54" s="8" t="inlineStr">
        <is>
          <t>P1</t>
        </is>
      </c>
      <c r="F54" s="8" t="inlineStr">
        <is>
          <t>Automated</t>
        </is>
      </c>
      <c r="G54" s="9" t="inlineStr">
        <is>
          <t>Two customer accounts with data.</t>
        </is>
      </c>
      <c r="H54" s="9" t="inlineStr">
        <is>
          <t>Inject a quote event carrying the other account's identifiers.</t>
        </is>
      </c>
      <c r="I54" s="9" t="inlineStr">
        <is>
          <t>Rejected the moment it is received, before any company or stage is matched. Nothing is written to either account.</t>
        </is>
      </c>
      <c r="J54" s="9" t="inlineStr">
        <is>
          <t>FR-37 / AC-RUN-05</t>
        </is>
      </c>
      <c r="K54" s="8" t="inlineStr">
        <is>
          <t>Not run</t>
        </is>
      </c>
      <c r="L54" s="9" t="inlineStr"/>
      <c r="M54" s="8" t="inlineStr"/>
      <c r="N54" s="7" t="inlineStr"/>
      <c r="O54" s="7" t="inlineStr"/>
      <c r="P54" s="7" t="inlineStr"/>
      <c r="Q54" s="9" t="inlineStr"/>
      <c r="R54" s="7" t="inlineStr"/>
      <c r="S54" s="7" t="inlineStr"/>
      <c r="T54" s="7" t="inlineStr"/>
      <c r="U54" s="8" t="inlineStr"/>
      <c r="V54" s="9" t="inlineStr"/>
    </row>
    <row r="55" ht="40" customHeight="1">
      <c r="A55" s="4" t="inlineStr">
        <is>
          <t>1A-51</t>
        </is>
      </c>
      <c r="B55" s="5" t="inlineStr">
        <is>
          <t>Phase 1A</t>
        </is>
      </c>
      <c r="C55" s="5" t="inlineStr">
        <is>
          <t>Phase 1A</t>
        </is>
      </c>
      <c r="D55" s="4" t="inlineStr">
        <is>
          <t>Tenancy</t>
        </is>
      </c>
      <c r="E55" s="5" t="inlineStr">
        <is>
          <t>P1</t>
        </is>
      </c>
      <c r="F55" s="5" t="inlineStr">
        <is>
          <t>Automated</t>
        </is>
      </c>
      <c r="G55" s="6" t="inlineStr">
        <is>
          <t>Two accounts, each with activity entries.</t>
        </is>
      </c>
      <c r="H55" s="6" t="inlineStr">
        <is>
          <t>Read the activity timeline as each account.</t>
        </is>
      </c>
      <c r="I55" s="6" t="inlineStr">
        <is>
          <t>Each sees only its own. The organisation column is populated on every row including pre-existing ones.</t>
        </is>
      </c>
      <c r="J55" s="6" t="inlineStr">
        <is>
          <t>FR-39</t>
        </is>
      </c>
      <c r="K55" s="5" t="inlineStr">
        <is>
          <t>Not run</t>
        </is>
      </c>
      <c r="L55" s="6" t="inlineStr"/>
      <c r="M55" s="5" t="inlineStr"/>
      <c r="N55" s="4" t="inlineStr"/>
      <c r="O55" s="4" t="inlineStr"/>
      <c r="P55" s="4" t="inlineStr"/>
      <c r="Q55" s="6" t="inlineStr"/>
      <c r="R55" s="4" t="inlineStr"/>
      <c r="S55" s="4" t="inlineStr"/>
      <c r="T55" s="4" t="inlineStr"/>
      <c r="U55" s="5" t="inlineStr"/>
      <c r="V55" s="6" t="inlineStr"/>
    </row>
    <row r="56" ht="40" customHeight="1">
      <c r="A56" s="7" t="inlineStr">
        <is>
          <t>1A-52</t>
        </is>
      </c>
      <c r="B56" s="8" t="inlineStr">
        <is>
          <t>Phase 1A</t>
        </is>
      </c>
      <c r="C56" s="8" t="inlineStr">
        <is>
          <t>Phase 1A</t>
        </is>
      </c>
      <c r="D56" s="7" t="inlineStr">
        <is>
          <t>No side effects</t>
        </is>
      </c>
      <c r="E56" s="8" t="inlineStr">
        <is>
          <t>P1</t>
        </is>
      </c>
      <c r="F56" s="8" t="inlineStr">
        <is>
          <t>Manual</t>
        </is>
      </c>
      <c r="G56" s="9" t="inlineStr">
        <is>
          <t>Phase 1A build, no recipes configured.</t>
        </is>
      </c>
      <c r="H56" s="9" t="inlineStr">
        <is>
          <t>Move a Deal through every stage, leave it idle a week, let a quote expire.</t>
        </is>
      </c>
      <c r="I56" s="9" t="inlineStr">
        <is>
          <t>No note, task, file request or notification is created unprompted. Needs-your-attention may display but must not write.</t>
        </is>
      </c>
      <c r="J56" s="9" t="inlineStr">
        <is>
          <t>FR-41</t>
        </is>
      </c>
      <c r="K56" s="8" t="inlineStr">
        <is>
          <t>Not run</t>
        </is>
      </c>
      <c r="L56" s="9" t="inlineStr"/>
      <c r="M56" s="8" t="inlineStr"/>
      <c r="N56" s="7" t="inlineStr"/>
      <c r="O56" s="7" t="inlineStr"/>
      <c r="P56" s="7" t="inlineStr"/>
      <c r="Q56" s="9" t="inlineStr"/>
      <c r="R56" s="7" t="inlineStr"/>
      <c r="S56" s="7" t="inlineStr"/>
      <c r="T56" s="7" t="inlineStr"/>
      <c r="U56" s="8" t="inlineStr"/>
      <c r="V56" s="9" t="inlineStr"/>
    </row>
    <row r="57" ht="40" customHeight="1">
      <c r="A57" s="4" t="inlineStr">
        <is>
          <t>1A-53</t>
        </is>
      </c>
      <c r="B57" s="5" t="inlineStr">
        <is>
          <t>Phase 1A</t>
        </is>
      </c>
      <c r="C57" s="5" t="inlineStr">
        <is>
          <t>Phase 1A</t>
        </is>
      </c>
      <c r="D57" s="4" t="inlineStr">
        <is>
          <t>Flags</t>
        </is>
      </c>
      <c r="E57" s="5" t="inlineStr">
        <is>
          <t>P1</t>
        </is>
      </c>
      <c r="F57" s="5" t="inlineStr">
        <is>
          <t>Manual</t>
        </is>
      </c>
      <c r="G57" s="6" t="inlineStr">
        <is>
          <t>Phase 1A build.</t>
        </is>
      </c>
      <c r="H57" s="6" t="inlineStr">
        <is>
          <t>Look for Site Ready, Commit Forecast and Stage-weighted views.</t>
        </is>
      </c>
      <c r="I57" s="6" t="inlineStr">
        <is>
          <t>None of the three is reachable — not in navigation, not by direct URL, and not through search.</t>
        </is>
      </c>
      <c r="J57" s="6" t="inlineStr">
        <is>
          <t>D8</t>
        </is>
      </c>
      <c r="K57" s="5" t="inlineStr">
        <is>
          <t>Not run</t>
        </is>
      </c>
      <c r="L57" s="6" t="inlineStr"/>
      <c r="M57" s="5" t="inlineStr"/>
      <c r="N57" s="4" t="inlineStr"/>
      <c r="O57" s="4" t="inlineStr"/>
      <c r="P57" s="4" t="inlineStr"/>
      <c r="Q57" s="6" t="inlineStr"/>
      <c r="R57" s="4" t="inlineStr"/>
      <c r="S57" s="4" t="inlineStr"/>
      <c r="T57" s="4" t="inlineStr"/>
      <c r="U57" s="5" t="inlineStr"/>
      <c r="V57" s="6" t="inlineStr"/>
    </row>
    <row r="58" ht="40" customHeight="1">
      <c r="A58" s="7" t="inlineStr">
        <is>
          <t>1A-54</t>
        </is>
      </c>
      <c r="B58" s="8" t="inlineStr">
        <is>
          <t>Phase 1A</t>
        </is>
      </c>
      <c r="C58" s="8" t="inlineStr">
        <is>
          <t>Phase 1A</t>
        </is>
      </c>
      <c r="D58" s="7" t="inlineStr">
        <is>
          <t>History</t>
        </is>
      </c>
      <c r="E58" s="8" t="inlineStr">
        <is>
          <t>P1</t>
        </is>
      </c>
      <c r="F58" s="8" t="inlineStr">
        <is>
          <t>Manual</t>
        </is>
      </c>
      <c r="G58" s="9" t="inlineStr">
        <is>
          <t>A Deal that moved through several stages.</t>
        </is>
      </c>
      <c r="H58" s="9" t="inlineStr">
        <is>
          <t>Open the Deal history.</t>
        </is>
      </c>
      <c r="I58" s="9" t="inlineStr">
        <is>
          <t>Every protected transition recorded with its trigger; every backward correction records its reason.</t>
        </is>
      </c>
      <c r="J58" s="9" t="inlineStr">
        <is>
          <t>AC-DEAL-01</t>
        </is>
      </c>
      <c r="K58" s="8" t="inlineStr">
        <is>
          <t>Not run</t>
        </is>
      </c>
      <c r="L58" s="9" t="inlineStr"/>
      <c r="M58" s="8" t="inlineStr"/>
      <c r="N58" s="7" t="inlineStr"/>
      <c r="O58" s="7" t="inlineStr"/>
      <c r="P58" s="7" t="inlineStr"/>
      <c r="Q58" s="9" t="inlineStr"/>
      <c r="R58" s="7" t="inlineStr"/>
      <c r="S58" s="7" t="inlineStr"/>
      <c r="T58" s="7" t="inlineStr"/>
      <c r="U58" s="8" t="inlineStr"/>
      <c r="V58" s="9" t="inlineStr"/>
    </row>
  </sheetData>
  <autoFilter ref="A4:V58"/>
  <conditionalFormatting sqref="K5:K5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  <cfRule type="cellIs" priority="5" operator="equal" dxfId="4">
      <formula>"Not run"</formula>
    </cfRule>
  </conditionalFormatting>
  <dataValidations count="3">
    <dataValidation sqref="K5:K58" showDropDown="0" showInputMessage="0" showErrorMessage="0" allowBlank="0" type="list">
      <formula1>"Not run,Pass,Fail,Blocked,N/A"</formula1>
    </dataValidation>
    <dataValidation sqref="E5:E58" showDropDown="0" showInputMessage="0" showErrorMessage="0" allowBlank="0" type="list">
      <formula1>"P1,P2,P3"</formula1>
    </dataValidation>
    <dataValidation sqref="F5:F58" showDropDown="0" showInputMessage="0" showErrorMessage="0" allowBlank="0" type="list">
      <formula1>"Manual,Automated,Both"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5" customWidth="1" min="5" max="5"/>
    <col width="10" customWidth="1" min="6" max="6"/>
    <col width="30" customWidth="1" min="7" max="7"/>
    <col width="38" customWidth="1" min="8" max="8"/>
    <col width="44" customWidth="1" min="9" max="9"/>
    <col width="20" customWidth="1" min="10" max="10"/>
    <col width="11" customWidth="1" min="11" max="11"/>
    <col width="26" customWidth="1" min="12" max="12"/>
    <col width="10" customWidth="1" min="13" max="13"/>
    <col width="12" customWidth="1" min="14" max="14"/>
    <col width="14" customWidth="1" min="15" max="15"/>
    <col width="16" customWidth="1" min="16" max="16"/>
    <col width="22" customWidth="1" min="17" max="17"/>
    <col width="11" customWidth="1" min="18" max="18"/>
    <col width="15" customWidth="1" min="19" max="19"/>
    <col width="10" customWidth="1" min="20" max="20"/>
    <col width="11" customWidth="1" min="21" max="21"/>
    <col width="22" customWidth="1" min="22" max="22"/>
  </cols>
  <sheetData>
    <row r="1">
      <c r="A1" s="1" t="inlineStr">
        <is>
          <t>QA checklist — Phase 1B</t>
        </is>
      </c>
    </row>
    <row r="2">
      <c r="A2" s="2" t="inlineStr">
        <is>
          <t>Managed recipes — settings without the canvas, versioning, idempotency, timed work, approvals and Deal-card output.</t>
        </is>
      </c>
    </row>
    <row r="3">
      <c r="A3" s="2" t="inlineStr">
        <is>
          <t>Fill in from Status onwards. Everything to the left describes the test.</t>
        </is>
      </c>
    </row>
    <row r="4">
      <c r="A4" s="3" t="inlineStr">
        <is>
          <t>ID</t>
        </is>
      </c>
      <c r="B4" s="3" t="inlineStr">
        <is>
          <t>Release</t>
        </is>
      </c>
      <c r="C4" s="3" t="inlineStr">
        <is>
          <t>Applies from</t>
        </is>
      </c>
      <c r="D4" s="3" t="inlineStr">
        <is>
          <t>Area</t>
        </is>
      </c>
      <c r="E4" s="3" t="inlineStr">
        <is>
          <t>Pri</t>
        </is>
      </c>
      <c r="F4" s="3" t="inlineStr">
        <is>
          <t>Method</t>
        </is>
      </c>
      <c r="G4" s="3" t="inlineStr">
        <is>
          <t>Precondition</t>
        </is>
      </c>
      <c r="H4" s="3" t="inlineStr">
        <is>
          <t>Steps</t>
        </is>
      </c>
      <c r="I4" s="3" t="inlineStr">
        <is>
          <t>Expected result</t>
        </is>
      </c>
      <c r="J4" s="3" t="inlineStr">
        <is>
          <t>Traces to</t>
        </is>
      </c>
      <c r="K4" s="3" t="inlineStr">
        <is>
          <t>Status</t>
        </is>
      </c>
      <c r="L4" s="3" t="inlineStr">
        <is>
          <t>Actual result</t>
        </is>
      </c>
      <c r="M4" s="3" t="inlineStr">
        <is>
          <t>Build</t>
        </is>
      </c>
      <c r="N4" s="3" t="inlineStr">
        <is>
          <t>Environment</t>
        </is>
      </c>
      <c r="O4" s="3" t="inlineStr">
        <is>
          <t>Browser / device</t>
        </is>
      </c>
      <c r="P4" s="3" t="inlineStr">
        <is>
          <t>Test data</t>
        </is>
      </c>
      <c r="Q4" s="3" t="inlineStr">
        <is>
          <t>Evidence link</t>
        </is>
      </c>
      <c r="R4" s="3" t="inlineStr">
        <is>
          <t>Defect ID</t>
        </is>
      </c>
      <c r="S4" s="3" t="inlineStr">
        <is>
          <t>Waiver approved by</t>
        </is>
      </c>
      <c r="T4" s="3" t="inlineStr">
        <is>
          <t>Tester</t>
        </is>
      </c>
      <c r="U4" s="3" t="inlineStr">
        <is>
          <t>Date</t>
        </is>
      </c>
      <c r="V4" s="3" t="inlineStr">
        <is>
          <t>Notes</t>
        </is>
      </c>
    </row>
    <row r="5" ht="40" customHeight="1">
      <c r="A5" s="4" t="inlineStr">
        <is>
          <t>1B-01</t>
        </is>
      </c>
      <c r="B5" s="5" t="inlineStr">
        <is>
          <t>Phase 1B</t>
        </is>
      </c>
      <c r="C5" s="5" t="inlineStr">
        <is>
          <t>Phase 1B</t>
        </is>
      </c>
      <c r="D5" s="4" t="inlineStr">
        <is>
          <t>Recipe setup</t>
        </is>
      </c>
      <c r="E5" s="5" t="inlineStr">
        <is>
          <t>P1</t>
        </is>
      </c>
      <c r="F5" s="5" t="inlineStr">
        <is>
          <t>Manual</t>
        </is>
      </c>
      <c r="G5" s="6" t="inlineStr">
        <is>
          <t>Phase 1B build.</t>
        </is>
      </c>
      <c r="H5" s="6" t="inlineStr">
        <is>
          <t>Enable a recipe and change owner, wait days and label.</t>
        </is>
      </c>
      <c r="I5" s="6" t="inlineStr">
        <is>
          <t>Every exposed setting can be changed and saved from the recipe form. The canvas is never opened, and the saved values are reflected the next time the recipe runs.</t>
        </is>
      </c>
      <c r="J5" s="6" t="inlineStr">
        <is>
          <t>FR-02</t>
        </is>
      </c>
      <c r="K5" s="5" t="inlineStr">
        <is>
          <t>Not run</t>
        </is>
      </c>
      <c r="L5" s="6" t="inlineStr"/>
      <c r="M5" s="5" t="inlineStr"/>
      <c r="N5" s="4" t="inlineStr"/>
      <c r="O5" s="4" t="inlineStr"/>
      <c r="P5" s="4" t="inlineStr"/>
      <c r="Q5" s="6" t="inlineStr"/>
      <c r="R5" s="4" t="inlineStr"/>
      <c r="S5" s="4" t="inlineStr"/>
      <c r="T5" s="4" t="inlineStr"/>
      <c r="U5" s="5" t="inlineStr"/>
      <c r="V5" s="6" t="inlineStr"/>
    </row>
    <row r="6" ht="40" customHeight="1">
      <c r="A6" s="7" t="inlineStr">
        <is>
          <t>1B-02</t>
        </is>
      </c>
      <c r="B6" s="8" t="inlineStr">
        <is>
          <t>Phase 1B</t>
        </is>
      </c>
      <c r="C6" s="8" t="inlineStr">
        <is>
          <t>Phase 1B</t>
        </is>
      </c>
      <c r="D6" s="7" t="inlineStr">
        <is>
          <t>Recipe setup</t>
        </is>
      </c>
      <c r="E6" s="8" t="inlineStr">
        <is>
          <t>P1</t>
        </is>
      </c>
      <c r="F6" s="8" t="inlineStr">
        <is>
          <t>Manual</t>
        </is>
      </c>
      <c r="G6" s="9" t="inlineStr">
        <is>
          <t>Creating a recipe.</t>
        </is>
      </c>
      <c r="H6" s="9" t="inlineStr">
        <is>
          <t>Save without choosing a company scope.</t>
        </is>
      </c>
      <c r="I6" s="9" t="inlineStr">
        <is>
          <t>Blocked. Scope is required and defaults to All Companies.</t>
        </is>
      </c>
      <c r="J6" s="9" t="inlineStr">
        <is>
          <t>FR-09 / AC-BLD-04</t>
        </is>
      </c>
      <c r="K6" s="8" t="inlineStr">
        <is>
          <t>Not run</t>
        </is>
      </c>
      <c r="L6" s="9" t="inlineStr"/>
      <c r="M6" s="8" t="inlineStr"/>
      <c r="N6" s="7" t="inlineStr"/>
      <c r="O6" s="7" t="inlineStr"/>
      <c r="P6" s="7" t="inlineStr"/>
      <c r="Q6" s="9" t="inlineStr"/>
      <c r="R6" s="7" t="inlineStr"/>
      <c r="S6" s="7" t="inlineStr"/>
      <c r="T6" s="7" t="inlineStr"/>
      <c r="U6" s="8" t="inlineStr"/>
      <c r="V6" s="9" t="inlineStr"/>
    </row>
    <row r="7" ht="40" customHeight="1">
      <c r="A7" s="4" t="inlineStr">
        <is>
          <t>1B-03</t>
        </is>
      </c>
      <c r="B7" s="5" t="inlineStr">
        <is>
          <t>Phase 1B</t>
        </is>
      </c>
      <c r="C7" s="5" t="inlineStr">
        <is>
          <t>Phase 1B</t>
        </is>
      </c>
      <c r="D7" s="4" t="inlineStr">
        <is>
          <t>Recipe setup</t>
        </is>
      </c>
      <c r="E7" s="5" t="inlineStr">
        <is>
          <t>P2</t>
        </is>
      </c>
      <c r="F7" s="5" t="inlineStr">
        <is>
          <t>Manual</t>
        </is>
      </c>
      <c r="G7" s="6" t="inlineStr">
        <is>
          <t>A recipe with company scope set.</t>
        </is>
      </c>
      <c r="H7" s="6" t="inlineStr">
        <is>
          <t>Check every surface that lists it.</t>
        </is>
      </c>
      <c r="I7" s="6" t="inlineStr">
        <is>
          <t>Scope visible in list, editor, comparison, publish and history.</t>
        </is>
      </c>
      <c r="J7" s="6" t="inlineStr">
        <is>
          <t>FR-10</t>
        </is>
      </c>
      <c r="K7" s="5" t="inlineStr">
        <is>
          <t>Not run</t>
        </is>
      </c>
      <c r="L7" s="6" t="inlineStr"/>
      <c r="M7" s="5" t="inlineStr"/>
      <c r="N7" s="4" t="inlineStr"/>
      <c r="O7" s="4" t="inlineStr"/>
      <c r="P7" s="4" t="inlineStr"/>
      <c r="Q7" s="6" t="inlineStr"/>
      <c r="R7" s="4" t="inlineStr"/>
      <c r="S7" s="4" t="inlineStr"/>
      <c r="T7" s="4" t="inlineStr"/>
      <c r="U7" s="5" t="inlineStr"/>
      <c r="V7" s="6" t="inlineStr"/>
    </row>
    <row r="8" ht="40" customHeight="1">
      <c r="A8" s="7" t="inlineStr">
        <is>
          <t>1B-04</t>
        </is>
      </c>
      <c r="B8" s="8" t="inlineStr">
        <is>
          <t>Phase 1B</t>
        </is>
      </c>
      <c r="C8" s="8" t="inlineStr">
        <is>
          <t>Phase 1B</t>
        </is>
      </c>
      <c r="D8" s="7" t="inlineStr">
        <is>
          <t>Recipe setup</t>
        </is>
      </c>
      <c r="E8" s="8" t="inlineStr">
        <is>
          <t>P1</t>
        </is>
      </c>
      <c r="F8" s="8" t="inlineStr">
        <is>
          <t>Automated</t>
        </is>
      </c>
      <c r="G8" s="9" t="inlineStr">
        <is>
          <t>A recipe scoped to one company.</t>
        </is>
      </c>
      <c r="H8" s="9" t="inlineStr">
        <is>
          <t>Trigger the matching event in another company.</t>
        </is>
      </c>
      <c r="I8" s="9" t="inlineStr">
        <is>
          <t>The recipe does not run. No note, task or notification is created, and nothing is written to that Deal's history.</t>
        </is>
      </c>
      <c r="J8" s="9" t="inlineStr">
        <is>
          <t>FR-15 / AC-RUN-06</t>
        </is>
      </c>
      <c r="K8" s="8" t="inlineStr">
        <is>
          <t>Not run</t>
        </is>
      </c>
      <c r="L8" s="9" t="inlineStr"/>
      <c r="M8" s="8" t="inlineStr"/>
      <c r="N8" s="7" t="inlineStr"/>
      <c r="O8" s="7" t="inlineStr"/>
      <c r="P8" s="7" t="inlineStr"/>
      <c r="Q8" s="9" t="inlineStr"/>
      <c r="R8" s="7" t="inlineStr"/>
      <c r="S8" s="7" t="inlineStr"/>
      <c r="T8" s="7" t="inlineStr"/>
      <c r="U8" s="8" t="inlineStr"/>
      <c r="V8" s="9" t="inlineStr"/>
    </row>
    <row r="9" ht="40" customHeight="1">
      <c r="A9" s="4" t="inlineStr">
        <is>
          <t>1B-05</t>
        </is>
      </c>
      <c r="B9" s="5" t="inlineStr">
        <is>
          <t>Phase 1B</t>
        </is>
      </c>
      <c r="C9" s="5" t="inlineStr">
        <is>
          <t>Phase 1B</t>
        </is>
      </c>
      <c r="D9" s="4" t="inlineStr">
        <is>
          <t>Versioning</t>
        </is>
      </c>
      <c r="E9" s="5" t="inlineStr">
        <is>
          <t>P1</t>
        </is>
      </c>
      <c r="F9" s="5" t="inlineStr">
        <is>
          <t>Automated</t>
        </is>
      </c>
      <c r="G9" s="6" t="inlineStr">
        <is>
          <t>A published recipe.</t>
        </is>
      </c>
      <c r="H9" s="6" t="inlineStr">
        <is>
          <t>Change a setting and save without publishing.</t>
        </is>
      </c>
      <c r="I9" s="6" t="inlineStr">
        <is>
          <t>The live version keeps running. The change is held as a draft.</t>
        </is>
      </c>
      <c r="J9" s="6" t="inlineStr">
        <is>
          <t>FR-11 / AC-BLD-08</t>
        </is>
      </c>
      <c r="K9" s="5" t="inlineStr">
        <is>
          <t>Not run</t>
        </is>
      </c>
      <c r="L9" s="6" t="inlineStr"/>
      <c r="M9" s="5" t="inlineStr"/>
      <c r="N9" s="4" t="inlineStr"/>
      <c r="O9" s="4" t="inlineStr"/>
      <c r="P9" s="4" t="inlineStr"/>
      <c r="Q9" s="6" t="inlineStr"/>
      <c r="R9" s="4" t="inlineStr"/>
      <c r="S9" s="4" t="inlineStr"/>
      <c r="T9" s="4" t="inlineStr"/>
      <c r="U9" s="5" t="inlineStr"/>
      <c r="V9" s="6" t="inlineStr"/>
    </row>
    <row r="10" ht="40" customHeight="1">
      <c r="A10" s="7" t="inlineStr">
        <is>
          <t>1B-06</t>
        </is>
      </c>
      <c r="B10" s="8" t="inlineStr">
        <is>
          <t>Phase 1B</t>
        </is>
      </c>
      <c r="C10" s="8" t="inlineStr">
        <is>
          <t>Phase 1B</t>
        </is>
      </c>
      <c r="D10" s="7" t="inlineStr">
        <is>
          <t>Versioning</t>
        </is>
      </c>
      <c r="E10" s="8" t="inlineStr">
        <is>
          <t>P1</t>
        </is>
      </c>
      <c r="F10" s="8" t="inlineStr">
        <is>
          <t>Automated</t>
        </is>
      </c>
      <c r="G10" s="9" t="inlineStr">
        <is>
          <t>A recipe with work already waiting.</t>
        </is>
      </c>
      <c r="H10" s="9" t="inlineStr">
        <is>
          <t>Publish a new version.</t>
        </is>
      </c>
      <c r="I10" s="9" t="inlineStr">
        <is>
          <t>Work in flight finishes on the version it started with.</t>
        </is>
      </c>
      <c r="J10" s="9" t="inlineStr">
        <is>
          <t>A15</t>
        </is>
      </c>
      <c r="K10" s="8" t="inlineStr">
        <is>
          <t>Not run</t>
        </is>
      </c>
      <c r="L10" s="9" t="inlineStr"/>
      <c r="M10" s="8" t="inlineStr"/>
      <c r="N10" s="7" t="inlineStr"/>
      <c r="O10" s="7" t="inlineStr"/>
      <c r="P10" s="7" t="inlineStr"/>
      <c r="Q10" s="9" t="inlineStr"/>
      <c r="R10" s="7" t="inlineStr"/>
      <c r="S10" s="7" t="inlineStr"/>
      <c r="T10" s="7" t="inlineStr"/>
      <c r="U10" s="8" t="inlineStr"/>
      <c r="V10" s="9" t="inlineStr"/>
    </row>
    <row r="11" ht="40" customHeight="1">
      <c r="A11" s="4" t="inlineStr">
        <is>
          <t>1B-07</t>
        </is>
      </c>
      <c r="B11" s="5" t="inlineStr">
        <is>
          <t>Phase 1B</t>
        </is>
      </c>
      <c r="C11" s="5" t="inlineStr">
        <is>
          <t>Phase 1B</t>
        </is>
      </c>
      <c r="D11" s="4" t="inlineStr">
        <is>
          <t>Versioning</t>
        </is>
      </c>
      <c r="E11" s="5" t="inlineStr">
        <is>
          <t>P1</t>
        </is>
      </c>
      <c r="F11" s="5" t="inlineStr">
        <is>
          <t>Manual</t>
        </is>
      </c>
      <c r="G11" s="6" t="inlineStr">
        <is>
          <t>Phase 1B build.</t>
        </is>
      </c>
      <c r="H11" s="6" t="inlineStr">
        <is>
          <t>Restart the server, then read a saved recipe and its versions.</t>
        </is>
      </c>
      <c r="I11" s="6" t="inlineStr">
        <is>
          <t>The recipe and all its versions load exactly as before the restart. Nothing depended on the browser, and any work that was waiting is still waiting.</t>
        </is>
      </c>
      <c r="J11" s="6" t="inlineStr">
        <is>
          <t>FR-40</t>
        </is>
      </c>
      <c r="K11" s="5" t="inlineStr">
        <is>
          <t>Not run</t>
        </is>
      </c>
      <c r="L11" s="6" t="inlineStr"/>
      <c r="M11" s="5" t="inlineStr"/>
      <c r="N11" s="4" t="inlineStr"/>
      <c r="O11" s="4" t="inlineStr"/>
      <c r="P11" s="4" t="inlineStr"/>
      <c r="Q11" s="6" t="inlineStr"/>
      <c r="R11" s="4" t="inlineStr"/>
      <c r="S11" s="4" t="inlineStr"/>
      <c r="T11" s="4" t="inlineStr"/>
      <c r="U11" s="5" t="inlineStr"/>
      <c r="V11" s="6" t="inlineStr"/>
    </row>
    <row r="12" ht="40" customHeight="1">
      <c r="A12" s="7" t="inlineStr">
        <is>
          <t>1B-08</t>
        </is>
      </c>
      <c r="B12" s="8" t="inlineStr">
        <is>
          <t>Phase 1B</t>
        </is>
      </c>
      <c r="C12" s="8" t="inlineStr">
        <is>
          <t>Phase 1B</t>
        </is>
      </c>
      <c r="D12" s="7" t="inlineStr">
        <is>
          <t>Idempotency</t>
        </is>
      </c>
      <c r="E12" s="8" t="inlineStr">
        <is>
          <t>P1</t>
        </is>
      </c>
      <c r="F12" s="8" t="inlineStr">
        <is>
          <t>Automated</t>
        </is>
      </c>
      <c r="G12" s="9" t="inlineStr">
        <is>
          <t>A recipe creating a note, a next action and a file request.</t>
        </is>
      </c>
      <c r="H12" s="9" t="inlineStr">
        <is>
          <t>Replay the same source event three times.</t>
        </is>
      </c>
      <c r="I12" s="9" t="inlineStr">
        <is>
          <t>Exactly one note, one next action and one file request exist. The run history shows three receipts of the same event and two of them recorded as already handled.</t>
        </is>
      </c>
      <c r="J12" s="9" t="inlineStr">
        <is>
          <t>FR-21 / AC-RUN-04</t>
        </is>
      </c>
      <c r="K12" s="8" t="inlineStr">
        <is>
          <t>Not run</t>
        </is>
      </c>
      <c r="L12" s="9" t="inlineStr"/>
      <c r="M12" s="8" t="inlineStr"/>
      <c r="N12" s="7" t="inlineStr"/>
      <c r="O12" s="7" t="inlineStr"/>
      <c r="P12" s="7" t="inlineStr"/>
      <c r="Q12" s="9" t="inlineStr"/>
      <c r="R12" s="7" t="inlineStr"/>
      <c r="S12" s="7" t="inlineStr"/>
      <c r="T12" s="7" t="inlineStr"/>
      <c r="U12" s="8" t="inlineStr"/>
      <c r="V12" s="9" t="inlineStr"/>
    </row>
    <row r="13" ht="40" customHeight="1">
      <c r="A13" s="4" t="inlineStr">
        <is>
          <t>1B-09</t>
        </is>
      </c>
      <c r="B13" s="5" t="inlineStr">
        <is>
          <t>Phase 1B</t>
        </is>
      </c>
      <c r="C13" s="5" t="inlineStr">
        <is>
          <t>Phase 1B</t>
        </is>
      </c>
      <c r="D13" s="4" t="inlineStr">
        <is>
          <t>Timed work</t>
        </is>
      </c>
      <c r="E13" s="5" t="inlineStr">
        <is>
          <t>P1</t>
        </is>
      </c>
      <c r="F13" s="5" t="inlineStr">
        <is>
          <t>Automated</t>
        </is>
      </c>
      <c r="G13" s="6" t="inlineStr">
        <is>
          <t>Sent quote follow-up, three working days.</t>
        </is>
      </c>
      <c r="H13" s="6" t="inlineStr">
        <is>
          <t>Send a quote on a Friday.</t>
        </is>
      </c>
      <c r="I13" s="6" t="inlineStr">
        <is>
          <t>Fires the following Wednesday, counting working days only.</t>
        </is>
      </c>
      <c r="J13" s="6" t="inlineStr">
        <is>
          <t>FR-36</t>
        </is>
      </c>
      <c r="K13" s="5" t="inlineStr">
        <is>
          <t>Not run</t>
        </is>
      </c>
      <c r="L13" s="6" t="inlineStr"/>
      <c r="M13" s="5" t="inlineStr"/>
      <c r="N13" s="4" t="inlineStr"/>
      <c r="O13" s="4" t="inlineStr"/>
      <c r="P13" s="4" t="inlineStr"/>
      <c r="Q13" s="6" t="inlineStr"/>
      <c r="R13" s="4" t="inlineStr"/>
      <c r="S13" s="4" t="inlineStr"/>
      <c r="T13" s="4" t="inlineStr"/>
      <c r="U13" s="5" t="inlineStr"/>
      <c r="V13" s="6" t="inlineStr"/>
    </row>
    <row r="14" ht="40" customHeight="1">
      <c r="A14" s="7" t="inlineStr">
        <is>
          <t>1B-10</t>
        </is>
      </c>
      <c r="B14" s="8" t="inlineStr">
        <is>
          <t>Phase 1B</t>
        </is>
      </c>
      <c r="C14" s="8" t="inlineStr">
        <is>
          <t>Phase 1B</t>
        </is>
      </c>
      <c r="D14" s="7" t="inlineStr">
        <is>
          <t>Timed work</t>
        </is>
      </c>
      <c r="E14" s="8" t="inlineStr">
        <is>
          <t>P1</t>
        </is>
      </c>
      <c r="F14" s="8" t="inlineStr">
        <is>
          <t>Automated</t>
        </is>
      </c>
      <c r="G14" s="9" t="inlineStr">
        <is>
          <t>A recipe waiting on a Deal.</t>
        </is>
      </c>
      <c r="H14" s="9" t="inlineStr">
        <is>
          <t>Move the Deal out of the stage before the wait ends.</t>
        </is>
      </c>
      <c r="I14" s="9" t="inlineStr">
        <is>
          <t>The pending run is cancelled or revalidated; it does not fire against the wrong stage.</t>
        </is>
      </c>
      <c r="J14" s="9" t="inlineStr">
        <is>
          <t>FR-36</t>
        </is>
      </c>
      <c r="K14" s="8" t="inlineStr">
        <is>
          <t>Not run</t>
        </is>
      </c>
      <c r="L14" s="9" t="inlineStr"/>
      <c r="M14" s="8" t="inlineStr"/>
      <c r="N14" s="7" t="inlineStr"/>
      <c r="O14" s="7" t="inlineStr"/>
      <c r="P14" s="7" t="inlineStr"/>
      <c r="Q14" s="9" t="inlineStr"/>
      <c r="R14" s="7" t="inlineStr"/>
      <c r="S14" s="7" t="inlineStr"/>
      <c r="T14" s="7" t="inlineStr"/>
      <c r="U14" s="8" t="inlineStr"/>
      <c r="V14" s="9" t="inlineStr"/>
    </row>
    <row r="15" ht="40" customHeight="1">
      <c r="A15" s="4" t="inlineStr">
        <is>
          <t>1B-11</t>
        </is>
      </c>
      <c r="B15" s="5" t="inlineStr">
        <is>
          <t>Phase 1B</t>
        </is>
      </c>
      <c r="C15" s="5" t="inlineStr">
        <is>
          <t>Phase 1B</t>
        </is>
      </c>
      <c r="D15" s="4" t="inlineStr">
        <is>
          <t>Timed work</t>
        </is>
      </c>
      <c r="E15" s="5" t="inlineStr">
        <is>
          <t>P2</t>
        </is>
      </c>
      <c r="F15" s="5" t="inlineStr">
        <is>
          <t>Automated</t>
        </is>
      </c>
      <c r="G15" s="6" t="inlineStr">
        <is>
          <t>A wait spanning a daylight-saving change.</t>
        </is>
      </c>
      <c r="H15" s="6" t="inlineStr">
        <is>
          <t>Let the wait elapse.</t>
        </is>
      </c>
      <c r="I15" s="6" t="inlineStr">
        <is>
          <t>It fires at the intended local time, not an hour early or late.</t>
        </is>
      </c>
      <c r="J15" s="6" t="inlineStr">
        <is>
          <t>FR-36</t>
        </is>
      </c>
      <c r="K15" s="5" t="inlineStr">
        <is>
          <t>Not run</t>
        </is>
      </c>
      <c r="L15" s="6" t="inlineStr"/>
      <c r="M15" s="5" t="inlineStr"/>
      <c r="N15" s="4" t="inlineStr"/>
      <c r="O15" s="4" t="inlineStr"/>
      <c r="P15" s="4" t="inlineStr"/>
      <c r="Q15" s="6" t="inlineStr"/>
      <c r="R15" s="4" t="inlineStr"/>
      <c r="S15" s="4" t="inlineStr"/>
      <c r="T15" s="4" t="inlineStr"/>
      <c r="U15" s="5" t="inlineStr"/>
      <c r="V15" s="6" t="inlineStr"/>
    </row>
    <row r="16" ht="40" customHeight="1">
      <c r="A16" s="7" t="inlineStr">
        <is>
          <t>1B-12</t>
        </is>
      </c>
      <c r="B16" s="8" t="inlineStr">
        <is>
          <t>Phase 1B</t>
        </is>
      </c>
      <c r="C16" s="8" t="inlineStr">
        <is>
          <t>Phase 1B</t>
        </is>
      </c>
      <c r="D16" s="7" t="inlineStr">
        <is>
          <t>Timed work</t>
        </is>
      </c>
      <c r="E16" s="8" t="inlineStr">
        <is>
          <t>P1</t>
        </is>
      </c>
      <c r="F16" s="8" t="inlineStr">
        <is>
          <t>Manual</t>
        </is>
      </c>
      <c r="G16" s="9" t="inlineStr">
        <is>
          <t>Event-driven recipes only; work queue not yet built.</t>
        </is>
      </c>
      <c r="H16" s="9" t="inlineStr">
        <is>
          <t>Trigger a quote-sent recipe.</t>
        </is>
      </c>
      <c r="I16" s="9" t="inlineStr">
        <is>
          <t>It runs. Event-driven recipes are not blocked by the queue.</t>
        </is>
      </c>
      <c r="J16" s="9" t="inlineStr">
        <is>
          <t>FR-36</t>
        </is>
      </c>
      <c r="K16" s="8" t="inlineStr">
        <is>
          <t>Not run</t>
        </is>
      </c>
      <c r="L16" s="9" t="inlineStr"/>
      <c r="M16" s="8" t="inlineStr"/>
      <c r="N16" s="7" t="inlineStr"/>
      <c r="O16" s="7" t="inlineStr"/>
      <c r="P16" s="7" t="inlineStr"/>
      <c r="Q16" s="9" t="inlineStr"/>
      <c r="R16" s="7" t="inlineStr"/>
      <c r="S16" s="7" t="inlineStr"/>
      <c r="T16" s="7" t="inlineStr"/>
      <c r="U16" s="8" t="inlineStr"/>
      <c r="V16" s="9" t="inlineStr"/>
    </row>
    <row r="17" ht="40" customHeight="1">
      <c r="A17" s="4" t="inlineStr">
        <is>
          <t>1B-13</t>
        </is>
      </c>
      <c r="B17" s="5" t="inlineStr">
        <is>
          <t>Phase 1B</t>
        </is>
      </c>
      <c r="C17" s="5" t="inlineStr">
        <is>
          <t>Phase 1B</t>
        </is>
      </c>
      <c r="D17" s="4" t="inlineStr">
        <is>
          <t>Timed work</t>
        </is>
      </c>
      <c r="E17" s="5" t="inlineStr">
        <is>
          <t>P1</t>
        </is>
      </c>
      <c r="F17" s="5" t="inlineStr">
        <is>
          <t>Manual</t>
        </is>
      </c>
      <c r="G17" s="6" t="inlineStr">
        <is>
          <t>Work queue not yet built.</t>
        </is>
      </c>
      <c r="H17" s="6" t="inlineStr">
        <is>
          <t>Try to switch on a timed recipe.</t>
        </is>
      </c>
      <c r="I17" s="6" t="inlineStr">
        <is>
          <t>The recipe cannot be switched on at all. It is shown as unavailable with the reason given, rather than offered as an inactive toggle.</t>
        </is>
      </c>
      <c r="J17" s="6" t="inlineStr">
        <is>
          <t>A14</t>
        </is>
      </c>
      <c r="K17" s="5" t="inlineStr">
        <is>
          <t>Not run</t>
        </is>
      </c>
      <c r="L17" s="6" t="inlineStr"/>
      <c r="M17" s="5" t="inlineStr"/>
      <c r="N17" s="4" t="inlineStr"/>
      <c r="O17" s="4" t="inlineStr"/>
      <c r="P17" s="4" t="inlineStr"/>
      <c r="Q17" s="6" t="inlineStr"/>
      <c r="R17" s="4" t="inlineStr"/>
      <c r="S17" s="4" t="inlineStr"/>
      <c r="T17" s="4" t="inlineStr"/>
      <c r="U17" s="5" t="inlineStr"/>
      <c r="V17" s="6" t="inlineStr"/>
    </row>
    <row r="18" ht="40" customHeight="1">
      <c r="A18" s="7" t="inlineStr">
        <is>
          <t>1B-14</t>
        </is>
      </c>
      <c r="B18" s="8" t="inlineStr">
        <is>
          <t>Phase 1B</t>
        </is>
      </c>
      <c r="C18" s="8" t="inlineStr">
        <is>
          <t>Phase 1B</t>
        </is>
      </c>
      <c r="D18" s="7" t="inlineStr">
        <is>
          <t>Approval</t>
        </is>
      </c>
      <c r="E18" s="8" t="inlineStr">
        <is>
          <t>P1</t>
        </is>
      </c>
      <c r="F18" s="8" t="inlineStr">
        <is>
          <t>Automated</t>
        </is>
      </c>
      <c r="G18" s="9" t="inlineStr">
        <is>
          <t>High-value approval; value threshold GBP 25,000.</t>
        </is>
      </c>
      <c r="H18" s="9" t="inlineStr">
        <is>
          <t>Pass review on a quote of GBP 24,999.</t>
        </is>
      </c>
      <c r="I18" s="9" t="inlineStr">
        <is>
          <t>No approval note is raised, and the quote proceeds normally.</t>
        </is>
      </c>
      <c r="J18" s="9" t="inlineStr">
        <is>
          <t>D7</t>
        </is>
      </c>
      <c r="K18" s="8" t="inlineStr">
        <is>
          <t>Not run</t>
        </is>
      </c>
      <c r="L18" s="9" t="inlineStr"/>
      <c r="M18" s="8" t="inlineStr"/>
      <c r="N18" s="7" t="inlineStr"/>
      <c r="O18" s="7" t="inlineStr"/>
      <c r="P18" s="7" t="inlineStr"/>
      <c r="Q18" s="9" t="inlineStr"/>
      <c r="R18" s="7" t="inlineStr"/>
      <c r="S18" s="7" t="inlineStr"/>
      <c r="T18" s="7" t="inlineStr"/>
      <c r="U18" s="8" t="inlineStr"/>
      <c r="V18" s="9" t="inlineStr"/>
    </row>
    <row r="19" ht="40" customHeight="1">
      <c r="A19" s="4" t="inlineStr">
        <is>
          <t>1B-15</t>
        </is>
      </c>
      <c r="B19" s="5" t="inlineStr">
        <is>
          <t>Phase 1B</t>
        </is>
      </c>
      <c r="C19" s="5" t="inlineStr">
        <is>
          <t>Phase 1B</t>
        </is>
      </c>
      <c r="D19" s="4" t="inlineStr">
        <is>
          <t>Approval</t>
        </is>
      </c>
      <c r="E19" s="5" t="inlineStr">
        <is>
          <t>P1</t>
        </is>
      </c>
      <c r="F19" s="5" t="inlineStr">
        <is>
          <t>Automated</t>
        </is>
      </c>
      <c r="G19" s="6" t="inlineStr">
        <is>
          <t>Same threshold.</t>
        </is>
      </c>
      <c r="H19" s="6" t="inlineStr">
        <is>
          <t>Pass review on a quote of exactly GBP 25,000.</t>
        </is>
      </c>
      <c r="I19" s="6" t="inlineStr">
        <is>
          <t>Behaviour matches the documented boundary rule, and the rule is stated in the recipe.</t>
        </is>
      </c>
      <c r="J19" s="6" t="inlineStr">
        <is>
          <t>D7</t>
        </is>
      </c>
      <c r="K19" s="5" t="inlineStr">
        <is>
          <t>Not run</t>
        </is>
      </c>
      <c r="L19" s="6" t="inlineStr"/>
      <c r="M19" s="5" t="inlineStr"/>
      <c r="N19" s="4" t="inlineStr"/>
      <c r="O19" s="4" t="inlineStr"/>
      <c r="P19" s="4" t="inlineStr"/>
      <c r="Q19" s="6" t="inlineStr"/>
      <c r="R19" s="4" t="inlineStr"/>
      <c r="S19" s="4" t="inlineStr"/>
      <c r="T19" s="4" t="inlineStr"/>
      <c r="U19" s="5" t="inlineStr"/>
      <c r="V19" s="6" t="inlineStr"/>
    </row>
    <row r="20" ht="40" customHeight="1">
      <c r="A20" s="7" t="inlineStr">
        <is>
          <t>1B-16</t>
        </is>
      </c>
      <c r="B20" s="8" t="inlineStr">
        <is>
          <t>Phase 1B</t>
        </is>
      </c>
      <c r="C20" s="8" t="inlineStr">
        <is>
          <t>Phase 1B</t>
        </is>
      </c>
      <c r="D20" s="7" t="inlineStr">
        <is>
          <t>Approval</t>
        </is>
      </c>
      <c r="E20" s="8" t="inlineStr">
        <is>
          <t>P1</t>
        </is>
      </c>
      <c r="F20" s="8" t="inlineStr">
        <is>
          <t>Automated</t>
        </is>
      </c>
      <c r="G20" s="9" t="inlineStr">
        <is>
          <t>Same threshold.</t>
        </is>
      </c>
      <c r="H20" s="9" t="inlineStr">
        <is>
          <t>Pass review on a quote of GBP 25,001.</t>
        </is>
      </c>
      <c r="I20" s="9" t="inlineStr">
        <is>
          <t>An approval note is raised to the approver named by D7.</t>
        </is>
      </c>
      <c r="J20" s="9" t="inlineStr">
        <is>
          <t>D7</t>
        </is>
      </c>
      <c r="K20" s="8" t="inlineStr">
        <is>
          <t>Not run</t>
        </is>
      </c>
      <c r="L20" s="9" t="inlineStr"/>
      <c r="M20" s="8" t="inlineStr"/>
      <c r="N20" s="7" t="inlineStr"/>
      <c r="O20" s="7" t="inlineStr"/>
      <c r="P20" s="7" t="inlineStr"/>
      <c r="Q20" s="9" t="inlineStr"/>
      <c r="R20" s="7" t="inlineStr"/>
      <c r="S20" s="7" t="inlineStr"/>
      <c r="T20" s="7" t="inlineStr"/>
      <c r="U20" s="8" t="inlineStr"/>
      <c r="V20" s="9" t="inlineStr"/>
    </row>
    <row r="21" ht="40" customHeight="1">
      <c r="A21" s="4" t="inlineStr">
        <is>
          <t>1B-17</t>
        </is>
      </c>
      <c r="B21" s="5" t="inlineStr">
        <is>
          <t>Phase 1B</t>
        </is>
      </c>
      <c r="C21" s="5" t="inlineStr">
        <is>
          <t>Phase 1B</t>
        </is>
      </c>
      <c r="D21" s="4" t="inlineStr">
        <is>
          <t>Approval</t>
        </is>
      </c>
      <c r="E21" s="5" t="inlineStr">
        <is>
          <t>P1</t>
        </is>
      </c>
      <c r="F21" s="5" t="inlineStr">
        <is>
          <t>Automated</t>
        </is>
      </c>
      <c r="G21" s="6" t="inlineStr">
        <is>
          <t>Discount threshold 15%.</t>
        </is>
      </c>
      <c r="H21" s="6" t="inlineStr">
        <is>
          <t>Pass review on a quote at 16% discount but below the value threshold.</t>
        </is>
      </c>
      <c r="I21" s="6" t="inlineStr">
        <is>
          <t>An approval note is raised. The OR condition fires on either limb.</t>
        </is>
      </c>
      <c r="J21" s="6" t="inlineStr">
        <is>
          <t>D7</t>
        </is>
      </c>
      <c r="K21" s="5" t="inlineStr">
        <is>
          <t>Not run</t>
        </is>
      </c>
      <c r="L21" s="6" t="inlineStr"/>
      <c r="M21" s="5" t="inlineStr"/>
      <c r="N21" s="4" t="inlineStr"/>
      <c r="O21" s="4" t="inlineStr"/>
      <c r="P21" s="4" t="inlineStr"/>
      <c r="Q21" s="6" t="inlineStr"/>
      <c r="R21" s="4" t="inlineStr"/>
      <c r="S21" s="4" t="inlineStr"/>
      <c r="T21" s="4" t="inlineStr"/>
      <c r="U21" s="5" t="inlineStr"/>
      <c r="V21" s="6" t="inlineStr"/>
    </row>
    <row r="22" ht="40" customHeight="1">
      <c r="A22" s="7" t="inlineStr">
        <is>
          <t>1B-18</t>
        </is>
      </c>
      <c r="B22" s="8" t="inlineStr">
        <is>
          <t>Phase 1B</t>
        </is>
      </c>
      <c r="C22" s="8" t="inlineStr">
        <is>
          <t>Phase 1B</t>
        </is>
      </c>
      <c r="D22" s="7" t="inlineStr">
        <is>
          <t>Approval</t>
        </is>
      </c>
      <c r="E22" s="8" t="inlineStr">
        <is>
          <t>P1</t>
        </is>
      </c>
      <c r="F22" s="8" t="inlineStr">
        <is>
          <t>Automated</t>
        </is>
      </c>
      <c r="G22" s="9" t="inlineStr">
        <is>
          <t>Both thresholds exceeded.</t>
        </is>
      </c>
      <c r="H22" s="9" t="inlineStr">
        <is>
          <t>Pass review.</t>
        </is>
      </c>
      <c r="I22" s="9" t="inlineStr">
        <is>
          <t>Exactly one approval note is raised, not one per limb of the condition.</t>
        </is>
      </c>
      <c r="J22" s="9" t="inlineStr">
        <is>
          <t>D7</t>
        </is>
      </c>
      <c r="K22" s="8" t="inlineStr">
        <is>
          <t>Not run</t>
        </is>
      </c>
      <c r="L22" s="9" t="inlineStr"/>
      <c r="M22" s="8" t="inlineStr"/>
      <c r="N22" s="7" t="inlineStr"/>
      <c r="O22" s="7" t="inlineStr"/>
      <c r="P22" s="7" t="inlineStr"/>
      <c r="Q22" s="9" t="inlineStr"/>
      <c r="R22" s="7" t="inlineStr"/>
      <c r="S22" s="7" t="inlineStr"/>
      <c r="T22" s="7" t="inlineStr"/>
      <c r="U22" s="8" t="inlineStr"/>
      <c r="V22" s="9" t="inlineStr"/>
    </row>
    <row r="23" ht="40" customHeight="1">
      <c r="A23" s="4" t="inlineStr">
        <is>
          <t>1B-19</t>
        </is>
      </c>
      <c r="B23" s="5" t="inlineStr">
        <is>
          <t>Phase 1B</t>
        </is>
      </c>
      <c r="C23" s="5" t="inlineStr">
        <is>
          <t>Phase 1B</t>
        </is>
      </c>
      <c r="D23" s="4" t="inlineStr">
        <is>
          <t>Approval</t>
        </is>
      </c>
      <c r="E23" s="5" t="inlineStr">
        <is>
          <t>P2</t>
        </is>
      </c>
      <c r="F23" s="5" t="inlineStr">
        <is>
          <t>Manual</t>
        </is>
      </c>
      <c r="G23" s="6" t="inlineStr">
        <is>
          <t>An approval already configured.</t>
        </is>
      </c>
      <c r="H23" s="6" t="inlineStr">
        <is>
          <t>Change the configured threshold and re-run.</t>
        </is>
      </c>
      <c r="I23" s="6" t="inlineStr">
        <is>
          <t>The new threshold applies. Existing pending work is unaffected.</t>
        </is>
      </c>
      <c r="J23" s="6" t="inlineStr">
        <is>
          <t>D7</t>
        </is>
      </c>
      <c r="K23" s="5" t="inlineStr">
        <is>
          <t>Not run</t>
        </is>
      </c>
      <c r="L23" s="6" t="inlineStr"/>
      <c r="M23" s="5" t="inlineStr"/>
      <c r="N23" s="4" t="inlineStr"/>
      <c r="O23" s="4" t="inlineStr"/>
      <c r="P23" s="4" t="inlineStr"/>
      <c r="Q23" s="6" t="inlineStr"/>
      <c r="R23" s="4" t="inlineStr"/>
      <c r="S23" s="4" t="inlineStr"/>
      <c r="T23" s="4" t="inlineStr"/>
      <c r="U23" s="5" t="inlineStr"/>
      <c r="V23" s="6" t="inlineStr"/>
    </row>
    <row r="24" ht="40" customHeight="1">
      <c r="A24" s="7" t="inlineStr">
        <is>
          <t>1B-20</t>
        </is>
      </c>
      <c r="B24" s="8" t="inlineStr">
        <is>
          <t>Phase 1B</t>
        </is>
      </c>
      <c r="C24" s="8" t="inlineStr">
        <is>
          <t>Phase 1B</t>
        </is>
      </c>
      <c r="D24" s="7" t="inlineStr">
        <is>
          <t>Deal card</t>
        </is>
      </c>
      <c r="E24" s="8" t="inlineStr">
        <is>
          <t>P1</t>
        </is>
      </c>
      <c r="F24" s="8" t="inlineStr">
        <is>
          <t>Manual</t>
        </is>
      </c>
      <c r="G24" s="9" t="inlineStr">
        <is>
          <t>A recipe that schedules a meeting on a Qualified Deal.</t>
        </is>
      </c>
      <c r="H24" s="9" t="inlineStr">
        <is>
          <t>Let it run.</t>
        </is>
      </c>
      <c r="I24" s="9" t="inlineStr">
        <is>
          <t>The meeting appears on the Deal card AND in Deal activity, not only in history.</t>
        </is>
      </c>
      <c r="J24" s="9" t="inlineStr">
        <is>
          <t>FR-22 / AC-RUN-03</t>
        </is>
      </c>
      <c r="K24" s="8" t="inlineStr">
        <is>
          <t>Not run</t>
        </is>
      </c>
      <c r="L24" s="9" t="inlineStr"/>
      <c r="M24" s="8" t="inlineStr"/>
      <c r="N24" s="7" t="inlineStr"/>
      <c r="O24" s="7" t="inlineStr"/>
      <c r="P24" s="7" t="inlineStr"/>
      <c r="Q24" s="9" t="inlineStr"/>
      <c r="R24" s="7" t="inlineStr"/>
      <c r="S24" s="7" t="inlineStr"/>
      <c r="T24" s="7" t="inlineStr"/>
      <c r="U24" s="8" t="inlineStr"/>
      <c r="V24" s="9" t="inlineStr"/>
    </row>
    <row r="25" ht="40" customHeight="1">
      <c r="A25" s="4" t="inlineStr">
        <is>
          <t>1B-21</t>
        </is>
      </c>
      <c r="B25" s="5" t="inlineStr">
        <is>
          <t>Phase 1B</t>
        </is>
      </c>
      <c r="C25" s="5" t="inlineStr">
        <is>
          <t>Phase 1B</t>
        </is>
      </c>
      <c r="D25" s="4" t="inlineStr">
        <is>
          <t>Deal card</t>
        </is>
      </c>
      <c r="E25" s="5" t="inlineStr">
        <is>
          <t>P1</t>
        </is>
      </c>
      <c r="F25" s="5" t="inlineStr">
        <is>
          <t>Manual</t>
        </is>
      </c>
      <c r="G25" s="6" t="inlineStr">
        <is>
          <t>A recipe that sets a next action.</t>
        </is>
      </c>
      <c r="H25" s="6" t="inlineStr">
        <is>
          <t>Let it run.</t>
        </is>
      </c>
      <c r="I25" s="6" t="inlineStr">
        <is>
          <t>The next action, its owner and its due date appear on the Deal card.</t>
        </is>
      </c>
      <c r="J25" s="6" t="inlineStr">
        <is>
          <t>FR-22</t>
        </is>
      </c>
      <c r="K25" s="5" t="inlineStr">
        <is>
          <t>Not run</t>
        </is>
      </c>
      <c r="L25" s="6" t="inlineStr"/>
      <c r="M25" s="5" t="inlineStr"/>
      <c r="N25" s="4" t="inlineStr"/>
      <c r="O25" s="4" t="inlineStr"/>
      <c r="P25" s="4" t="inlineStr"/>
      <c r="Q25" s="6" t="inlineStr"/>
      <c r="R25" s="4" t="inlineStr"/>
      <c r="S25" s="4" t="inlineStr"/>
      <c r="T25" s="4" t="inlineStr"/>
      <c r="U25" s="5" t="inlineStr"/>
      <c r="V25" s="6" t="inlineStr"/>
    </row>
    <row r="26" ht="40" customHeight="1">
      <c r="A26" s="7" t="inlineStr">
        <is>
          <t>1B-22</t>
        </is>
      </c>
      <c r="B26" s="8" t="inlineStr">
        <is>
          <t>Phase 1B</t>
        </is>
      </c>
      <c r="C26" s="8" t="inlineStr">
        <is>
          <t>Phase 1B</t>
        </is>
      </c>
      <c r="D26" s="7" t="inlineStr">
        <is>
          <t>Deal card</t>
        </is>
      </c>
      <c r="E26" s="8" t="inlineStr">
        <is>
          <t>P1</t>
        </is>
      </c>
      <c r="F26" s="8" t="inlineStr">
        <is>
          <t>Manual</t>
        </is>
      </c>
      <c r="G26" s="9" t="inlineStr">
        <is>
          <t>A note with a follow-up.</t>
        </is>
      </c>
      <c r="H26" s="9" t="inlineStr">
        <is>
          <t>Let it run.</t>
        </is>
      </c>
      <c r="I26" s="9" t="inlineStr">
        <is>
          <t>The follow-up appears on the Deal card and in activity.</t>
        </is>
      </c>
      <c r="J26" s="9" t="inlineStr">
        <is>
          <t>FR-22</t>
        </is>
      </c>
      <c r="K26" s="8" t="inlineStr">
        <is>
          <t>Not run</t>
        </is>
      </c>
      <c r="L26" s="9" t="inlineStr"/>
      <c r="M26" s="8" t="inlineStr"/>
      <c r="N26" s="7" t="inlineStr"/>
      <c r="O26" s="7" t="inlineStr"/>
      <c r="P26" s="7" t="inlineStr"/>
      <c r="Q26" s="9" t="inlineStr"/>
      <c r="R26" s="7" t="inlineStr"/>
      <c r="S26" s="7" t="inlineStr"/>
      <c r="T26" s="7" t="inlineStr"/>
      <c r="U26" s="8" t="inlineStr"/>
      <c r="V26" s="9" t="inlineStr"/>
    </row>
    <row r="27" ht="40" customHeight="1">
      <c r="A27" s="4" t="inlineStr">
        <is>
          <t>1B-23</t>
        </is>
      </c>
      <c r="B27" s="5" t="inlineStr">
        <is>
          <t>Phase 1B</t>
        </is>
      </c>
      <c r="C27" s="5" t="inlineStr">
        <is>
          <t>Phase 1B</t>
        </is>
      </c>
      <c r="D27" s="4" t="inlineStr">
        <is>
          <t>Deal card</t>
        </is>
      </c>
      <c r="E27" s="5" t="inlineStr">
        <is>
          <t>P1</t>
        </is>
      </c>
      <c r="F27" s="5" t="inlineStr">
        <is>
          <t>Manual</t>
        </is>
      </c>
      <c r="G27" s="6" t="inlineStr">
        <is>
          <t>A recipe that requests a file.</t>
        </is>
      </c>
      <c r="H27" s="6" t="inlineStr">
        <is>
          <t>Let it run.</t>
        </is>
      </c>
      <c r="I27" s="6" t="inlineStr">
        <is>
          <t>The request appears in Needs your attention and on the Deal card, with due date and assignee.</t>
        </is>
      </c>
      <c r="J27" s="6" t="inlineStr">
        <is>
          <t>FR-20 / FR-22</t>
        </is>
      </c>
      <c r="K27" s="5" t="inlineStr">
        <is>
          <t>Not run</t>
        </is>
      </c>
      <c r="L27" s="6" t="inlineStr"/>
      <c r="M27" s="5" t="inlineStr"/>
      <c r="N27" s="4" t="inlineStr"/>
      <c r="O27" s="4" t="inlineStr"/>
      <c r="P27" s="4" t="inlineStr"/>
      <c r="Q27" s="6" t="inlineStr"/>
      <c r="R27" s="4" t="inlineStr"/>
      <c r="S27" s="4" t="inlineStr"/>
      <c r="T27" s="4" t="inlineStr"/>
      <c r="U27" s="5" t="inlineStr"/>
      <c r="V27" s="6" t="inlineStr"/>
    </row>
    <row r="28" ht="40" customHeight="1">
      <c r="A28" s="7" t="inlineStr">
        <is>
          <t>1B-24</t>
        </is>
      </c>
      <c r="B28" s="8" t="inlineStr">
        <is>
          <t>Phase 1B</t>
        </is>
      </c>
      <c r="C28" s="8" t="inlineStr">
        <is>
          <t>Phase 1B</t>
        </is>
      </c>
      <c r="D28" s="7" t="inlineStr">
        <is>
          <t>Deal card</t>
        </is>
      </c>
      <c r="E28" s="8" t="inlineStr">
        <is>
          <t>P2</t>
        </is>
      </c>
      <c r="F28" s="8" t="inlineStr">
        <is>
          <t>Manual</t>
        </is>
      </c>
      <c r="G28" s="9" t="inlineStr">
        <is>
          <t>A Deal with an expected close date.</t>
        </is>
      </c>
      <c r="H28" s="9" t="inlineStr">
        <is>
          <t>Open Deal details.</t>
        </is>
      </c>
      <c r="I28" s="9" t="inlineStr">
        <is>
          <t>Expected close date appears under Labels, not as a Lead field.</t>
        </is>
      </c>
      <c r="J28" s="9" t="inlineStr">
        <is>
          <t>A11</t>
        </is>
      </c>
      <c r="K28" s="8" t="inlineStr">
        <is>
          <t>Not run</t>
        </is>
      </c>
      <c r="L28" s="9" t="inlineStr"/>
      <c r="M28" s="8" t="inlineStr"/>
      <c r="N28" s="7" t="inlineStr"/>
      <c r="O28" s="7" t="inlineStr"/>
      <c r="P28" s="7" t="inlineStr"/>
      <c r="Q28" s="9" t="inlineStr"/>
      <c r="R28" s="7" t="inlineStr"/>
      <c r="S28" s="7" t="inlineStr"/>
      <c r="T28" s="7" t="inlineStr"/>
      <c r="U28" s="8" t="inlineStr"/>
      <c r="V28" s="9" t="inlineStr"/>
    </row>
    <row r="29" ht="40" customHeight="1">
      <c r="A29" s="4" t="inlineStr">
        <is>
          <t>1B-25</t>
        </is>
      </c>
      <c r="B29" s="5" t="inlineStr">
        <is>
          <t>Phase 1B</t>
        </is>
      </c>
      <c r="C29" s="5" t="inlineStr">
        <is>
          <t>Phase 1B</t>
        </is>
      </c>
      <c r="D29" s="4" t="inlineStr">
        <is>
          <t>Deal card</t>
        </is>
      </c>
      <c r="E29" s="5" t="inlineStr">
        <is>
          <t>P1</t>
        </is>
      </c>
      <c r="F29" s="5" t="inlineStr">
        <is>
          <t>Manual</t>
        </is>
      </c>
      <c r="G29" s="6" t="inlineStr">
        <is>
          <t>An outstanding file request on a Deal card.</t>
        </is>
      </c>
      <c r="H29" s="6" t="inlineStr">
        <is>
          <t>Upload the matching file.</t>
        </is>
      </c>
      <c r="I29" s="6" t="inlineStr">
        <is>
          <t>Card, activity, focus and history all clear or update together.</t>
        </is>
      </c>
      <c r="J29" s="6" t="inlineStr">
        <is>
          <t>FR-20</t>
        </is>
      </c>
      <c r="K29" s="5" t="inlineStr">
        <is>
          <t>Not run</t>
        </is>
      </c>
      <c r="L29" s="6" t="inlineStr"/>
      <c r="M29" s="5" t="inlineStr"/>
      <c r="N29" s="4" t="inlineStr"/>
      <c r="O29" s="4" t="inlineStr"/>
      <c r="P29" s="4" t="inlineStr"/>
      <c r="Q29" s="6" t="inlineStr"/>
      <c r="R29" s="4" t="inlineStr"/>
      <c r="S29" s="4" t="inlineStr"/>
      <c r="T29" s="4" t="inlineStr"/>
      <c r="U29" s="5" t="inlineStr"/>
      <c r="V29" s="6" t="inlineStr"/>
    </row>
  </sheetData>
  <autoFilter ref="A4:V29"/>
  <conditionalFormatting sqref="K5:K2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  <cfRule type="cellIs" priority="5" operator="equal" dxfId="4">
      <formula>"Not run"</formula>
    </cfRule>
  </conditionalFormatting>
  <dataValidations count="3">
    <dataValidation sqref="K5:K29" showDropDown="0" showInputMessage="0" showErrorMessage="0" allowBlank="0" type="list">
      <formula1>"Not run,Pass,Fail,Blocked,N/A"</formula1>
    </dataValidation>
    <dataValidation sqref="E5:E29" showDropDown="0" showInputMessage="0" showErrorMessage="0" allowBlank="0" type="list">
      <formula1>"P1,P2,P3"</formula1>
    </dataValidation>
    <dataValidation sqref="F5:F29" showDropDown="0" showInputMessage="0" showErrorMessage="0" allowBlank="0" type="list">
      <formula1>"Manual,Automated,Both"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9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24" customWidth="1" min="14" max="14"/>
  </cols>
  <sheetData>
    <row r="1">
      <c r="A1" s="1" t="inlineStr">
        <is>
          <t>Recipe coverage matrix</t>
        </is>
      </c>
    </row>
    <row r="2">
      <c r="A2" s="2" t="inlineStr">
        <is>
          <t>Each of the twelve ready-made recipes, against nine checks. Every cell is a test result.</t>
        </is>
      </c>
    </row>
    <row r="4">
      <c r="A4" s="3" t="inlineStr">
        <is>
          <t>ID</t>
        </is>
      </c>
      <c r="B4" s="3" t="inlineStr">
        <is>
          <t>Recipe</t>
        </is>
      </c>
      <c r="C4" s="3" t="inlineStr">
        <is>
          <t>Stage</t>
        </is>
      </c>
      <c r="D4" s="3" t="inlineStr">
        <is>
          <t>Kind</t>
        </is>
      </c>
      <c r="E4" s="3" t="inlineStr">
        <is>
          <t>Correct trigger</t>
        </is>
      </c>
      <c r="F4" s="3" t="inlineStr">
        <is>
          <t>Rule Yes path</t>
        </is>
      </c>
      <c r="G4" s="3" t="inlineStr">
        <is>
          <t>Rule No path</t>
        </is>
      </c>
      <c r="H4" s="3" t="inlineStr">
        <is>
          <t>Correct action</t>
        </is>
      </c>
      <c r="I4" s="3" t="inlineStr">
        <is>
          <t>Company scope</t>
        </is>
      </c>
      <c r="J4" s="3" t="inlineStr">
        <is>
          <t>Active / Inactive</t>
        </is>
      </c>
      <c r="K4" s="3" t="inlineStr">
        <is>
          <t>Output in right place</t>
        </is>
      </c>
      <c r="L4" s="3" t="inlineStr">
        <is>
          <t>History entry</t>
        </is>
      </c>
      <c r="M4" s="3" t="inlineStr">
        <is>
          <t>Retry no duplicate</t>
        </is>
      </c>
      <c r="N4" s="3" t="inlineStr">
        <is>
          <t>Notes</t>
        </is>
      </c>
    </row>
    <row r="5">
      <c r="A5" s="4" t="inlineStr">
        <is>
          <t>RC-01</t>
        </is>
      </c>
      <c r="B5" s="4" t="inlineStr">
        <is>
          <t>Qualified first next action</t>
        </is>
      </c>
      <c r="C5" s="4" t="inlineStr">
        <is>
          <t>Qualified</t>
        </is>
      </c>
      <c r="D5" s="5" t="inlineStr">
        <is>
          <t>Event</t>
        </is>
      </c>
      <c r="E5" s="5" t="inlineStr">
        <is>
          <t>Not run</t>
        </is>
      </c>
      <c r="F5" s="5" t="inlineStr">
        <is>
          <t>Not run</t>
        </is>
      </c>
      <c r="G5" s="5" t="inlineStr">
        <is>
          <t>Not run</t>
        </is>
      </c>
      <c r="H5" s="5" t="inlineStr">
        <is>
          <t>Not run</t>
        </is>
      </c>
      <c r="I5" s="5" t="inlineStr">
        <is>
          <t>Not run</t>
        </is>
      </c>
      <c r="J5" s="5" t="inlineStr">
        <is>
          <t>Not run</t>
        </is>
      </c>
      <c r="K5" s="5" t="inlineStr">
        <is>
          <t>Not run</t>
        </is>
      </c>
      <c r="L5" s="5" t="inlineStr">
        <is>
          <t>Not run</t>
        </is>
      </c>
      <c r="M5" s="5" t="inlineStr">
        <is>
          <t>Not run</t>
        </is>
      </c>
      <c r="N5" s="5" t="inlineStr"/>
    </row>
    <row r="6">
      <c r="A6" s="7" t="inlineStr">
        <is>
          <t>RC-02</t>
        </is>
      </c>
      <c r="B6" s="7" t="inlineStr">
        <is>
          <t>Qualified inactivity reminder</t>
        </is>
      </c>
      <c r="C6" s="7" t="inlineStr">
        <is>
          <t>Qualified</t>
        </is>
      </c>
      <c r="D6" s="8" t="inlineStr">
        <is>
          <t>Timed</t>
        </is>
      </c>
      <c r="E6" s="8" t="inlineStr">
        <is>
          <t>Not run</t>
        </is>
      </c>
      <c r="F6" s="8" t="inlineStr">
        <is>
          <t>Not run</t>
        </is>
      </c>
      <c r="G6" s="8" t="inlineStr">
        <is>
          <t>Not run</t>
        </is>
      </c>
      <c r="H6" s="8" t="inlineStr">
        <is>
          <t>Not run</t>
        </is>
      </c>
      <c r="I6" s="8" t="inlineStr">
        <is>
          <t>Not run</t>
        </is>
      </c>
      <c r="J6" s="8" t="inlineStr">
        <is>
          <t>Not run</t>
        </is>
      </c>
      <c r="K6" s="8" t="inlineStr">
        <is>
          <t>Not run</t>
        </is>
      </c>
      <c r="L6" s="8" t="inlineStr">
        <is>
          <t>Not run</t>
        </is>
      </c>
      <c r="M6" s="8" t="inlineStr">
        <is>
          <t>Not run</t>
        </is>
      </c>
      <c r="N6" s="8" t="inlineStr"/>
    </row>
    <row r="7">
      <c r="A7" s="4" t="inlineStr">
        <is>
          <t>RC-03</t>
        </is>
      </c>
      <c r="B7" s="4" t="inlineStr">
        <is>
          <t>Site visit &amp; pre-quote readiness</t>
        </is>
      </c>
      <c r="C7" s="4" t="inlineStr">
        <is>
          <t>Qualified</t>
        </is>
      </c>
      <c r="D7" s="5" t="inlineStr">
        <is>
          <t>Event</t>
        </is>
      </c>
      <c r="E7" s="5" t="inlineStr">
        <is>
          <t>Not run</t>
        </is>
      </c>
      <c r="F7" s="5" t="inlineStr">
        <is>
          <t>Not run</t>
        </is>
      </c>
      <c r="G7" s="5" t="inlineStr">
        <is>
          <t>Not run</t>
        </is>
      </c>
      <c r="H7" s="5" t="inlineStr">
        <is>
          <t>Not run</t>
        </is>
      </c>
      <c r="I7" s="5" t="inlineStr">
        <is>
          <t>Not run</t>
        </is>
      </c>
      <c r="J7" s="5" t="inlineStr">
        <is>
          <t>Not run</t>
        </is>
      </c>
      <c r="K7" s="5" t="inlineStr">
        <is>
          <t>Not run</t>
        </is>
      </c>
      <c r="L7" s="5" t="inlineStr">
        <is>
          <t>Not run</t>
        </is>
      </c>
      <c r="M7" s="5" t="inlineStr">
        <is>
          <t>Not run</t>
        </is>
      </c>
      <c r="N7" s="5" t="inlineStr"/>
    </row>
    <row r="8">
      <c r="A8" s="7" t="inlineStr">
        <is>
          <t>RC-04</t>
        </is>
      </c>
      <c r="B8" s="7" t="inlineStr">
        <is>
          <t>Quote build and scope-of-work checks</t>
        </is>
      </c>
      <c r="C8" s="7" t="inlineStr">
        <is>
          <t>In Progress</t>
        </is>
      </c>
      <c r="D8" s="8" t="inlineStr">
        <is>
          <t>Event</t>
        </is>
      </c>
      <c r="E8" s="8" t="inlineStr">
        <is>
          <t>Not run</t>
        </is>
      </c>
      <c r="F8" s="8" t="inlineStr">
        <is>
          <t>Not run</t>
        </is>
      </c>
      <c r="G8" s="8" t="inlineStr">
        <is>
          <t>Not run</t>
        </is>
      </c>
      <c r="H8" s="8" t="inlineStr">
        <is>
          <t>Not run</t>
        </is>
      </c>
      <c r="I8" s="8" t="inlineStr">
        <is>
          <t>Not run</t>
        </is>
      </c>
      <c r="J8" s="8" t="inlineStr">
        <is>
          <t>Not run</t>
        </is>
      </c>
      <c r="K8" s="8" t="inlineStr">
        <is>
          <t>Not run</t>
        </is>
      </c>
      <c r="L8" s="8" t="inlineStr">
        <is>
          <t>Not run</t>
        </is>
      </c>
      <c r="M8" s="8" t="inlineStr">
        <is>
          <t>Not run</t>
        </is>
      </c>
      <c r="N8" s="8" t="inlineStr"/>
    </row>
    <row r="9">
      <c r="A9" s="4" t="inlineStr">
        <is>
          <t>RC-05</t>
        </is>
      </c>
      <c r="B9" s="4" t="inlineStr">
        <is>
          <t>Internal quote review</t>
        </is>
      </c>
      <c r="C9" s="4" t="inlineStr">
        <is>
          <t>In Review</t>
        </is>
      </c>
      <c r="D9" s="5" t="inlineStr">
        <is>
          <t>Event</t>
        </is>
      </c>
      <c r="E9" s="5" t="inlineStr">
        <is>
          <t>Not run</t>
        </is>
      </c>
      <c r="F9" s="5" t="inlineStr">
        <is>
          <t>Not run</t>
        </is>
      </c>
      <c r="G9" s="5" t="inlineStr">
        <is>
          <t>Not run</t>
        </is>
      </c>
      <c r="H9" s="5" t="inlineStr">
        <is>
          <t>Not run</t>
        </is>
      </c>
      <c r="I9" s="5" t="inlineStr">
        <is>
          <t>Not run</t>
        </is>
      </c>
      <c r="J9" s="5" t="inlineStr">
        <is>
          <t>Not run</t>
        </is>
      </c>
      <c r="K9" s="5" t="inlineStr">
        <is>
          <t>Not run</t>
        </is>
      </c>
      <c r="L9" s="5" t="inlineStr">
        <is>
          <t>Not run</t>
        </is>
      </c>
      <c r="M9" s="5" t="inlineStr">
        <is>
          <t>Not run</t>
        </is>
      </c>
      <c r="N9" s="5" t="inlineStr"/>
    </row>
    <row r="10">
      <c r="A10" s="7" t="inlineStr">
        <is>
          <t>RC-06</t>
        </is>
      </c>
      <c r="B10" s="7" t="inlineStr">
        <is>
          <t>Ready-to-send check</t>
        </is>
      </c>
      <c r="C10" s="7" t="inlineStr">
        <is>
          <t>Passed Review</t>
        </is>
      </c>
      <c r="D10" s="8" t="inlineStr">
        <is>
          <t>Event</t>
        </is>
      </c>
      <c r="E10" s="8" t="inlineStr">
        <is>
          <t>Not run</t>
        </is>
      </c>
      <c r="F10" s="8" t="inlineStr">
        <is>
          <t>Not run</t>
        </is>
      </c>
      <c r="G10" s="8" t="inlineStr">
        <is>
          <t>Not run</t>
        </is>
      </c>
      <c r="H10" s="8" t="inlineStr">
        <is>
          <t>Not run</t>
        </is>
      </c>
      <c r="I10" s="8" t="inlineStr">
        <is>
          <t>Not run</t>
        </is>
      </c>
      <c r="J10" s="8" t="inlineStr">
        <is>
          <t>Not run</t>
        </is>
      </c>
      <c r="K10" s="8" t="inlineStr">
        <is>
          <t>Not run</t>
        </is>
      </c>
      <c r="L10" s="8" t="inlineStr">
        <is>
          <t>Not run</t>
        </is>
      </c>
      <c r="M10" s="8" t="inlineStr">
        <is>
          <t>Not run</t>
        </is>
      </c>
      <c r="N10" s="8" t="inlineStr"/>
    </row>
    <row r="11">
      <c r="A11" s="4" t="inlineStr">
        <is>
          <t>RC-07</t>
        </is>
      </c>
      <c r="B11" s="4" t="inlineStr">
        <is>
          <t>High-value approval</t>
        </is>
      </c>
      <c r="C11" s="4" t="inlineStr">
        <is>
          <t>Passed Review</t>
        </is>
      </c>
      <c r="D11" s="5" t="inlineStr">
        <is>
          <t>Event</t>
        </is>
      </c>
      <c r="E11" s="5" t="inlineStr">
        <is>
          <t>Not run</t>
        </is>
      </c>
      <c r="F11" s="5" t="inlineStr">
        <is>
          <t>Not run</t>
        </is>
      </c>
      <c r="G11" s="5" t="inlineStr">
        <is>
          <t>Not run</t>
        </is>
      </c>
      <c r="H11" s="5" t="inlineStr">
        <is>
          <t>Not run</t>
        </is>
      </c>
      <c r="I11" s="5" t="inlineStr">
        <is>
          <t>Not run</t>
        </is>
      </c>
      <c r="J11" s="5" t="inlineStr">
        <is>
          <t>Not run</t>
        </is>
      </c>
      <c r="K11" s="5" t="inlineStr">
        <is>
          <t>Not run</t>
        </is>
      </c>
      <c r="L11" s="5" t="inlineStr">
        <is>
          <t>Not run</t>
        </is>
      </c>
      <c r="M11" s="5" t="inlineStr">
        <is>
          <t>Not run</t>
        </is>
      </c>
      <c r="N11" s="5" t="inlineStr"/>
    </row>
    <row r="12">
      <c r="A12" s="7" t="inlineStr">
        <is>
          <t>RC-08</t>
        </is>
      </c>
      <c r="B12" s="7" t="inlineStr">
        <is>
          <t>Sent quote follow-up</t>
        </is>
      </c>
      <c r="C12" s="7" t="inlineStr">
        <is>
          <t>Sent</t>
        </is>
      </c>
      <c r="D12" s="8" t="inlineStr">
        <is>
          <t>Timed</t>
        </is>
      </c>
      <c r="E12" s="8" t="inlineStr">
        <is>
          <t>Not run</t>
        </is>
      </c>
      <c r="F12" s="8" t="inlineStr">
        <is>
          <t>Not run</t>
        </is>
      </c>
      <c r="G12" s="8" t="inlineStr">
        <is>
          <t>Not run</t>
        </is>
      </c>
      <c r="H12" s="8" t="inlineStr">
        <is>
          <t>Not run</t>
        </is>
      </c>
      <c r="I12" s="8" t="inlineStr">
        <is>
          <t>Not run</t>
        </is>
      </c>
      <c r="J12" s="8" t="inlineStr">
        <is>
          <t>Not run</t>
        </is>
      </c>
      <c r="K12" s="8" t="inlineStr">
        <is>
          <t>Not run</t>
        </is>
      </c>
      <c r="L12" s="8" t="inlineStr">
        <is>
          <t>Not run</t>
        </is>
      </c>
      <c r="M12" s="8" t="inlineStr">
        <is>
          <t>Not run</t>
        </is>
      </c>
      <c r="N12" s="8" t="inlineStr"/>
    </row>
    <row r="13">
      <c r="A13" s="4" t="inlineStr">
        <is>
          <t>RC-09</t>
        </is>
      </c>
      <c r="B13" s="4" t="inlineStr">
        <is>
          <t>Quote expiry reminder</t>
        </is>
      </c>
      <c r="C13" s="4" t="inlineStr">
        <is>
          <t>Sent</t>
        </is>
      </c>
      <c r="D13" s="5" t="inlineStr">
        <is>
          <t>Timed</t>
        </is>
      </c>
      <c r="E13" s="5" t="inlineStr">
        <is>
          <t>Not run</t>
        </is>
      </c>
      <c r="F13" s="5" t="inlineStr">
        <is>
          <t>Not run</t>
        </is>
      </c>
      <c r="G13" s="5" t="inlineStr">
        <is>
          <t>Not run</t>
        </is>
      </c>
      <c r="H13" s="5" t="inlineStr">
        <is>
          <t>Not run</t>
        </is>
      </c>
      <c r="I13" s="5" t="inlineStr">
        <is>
          <t>Not run</t>
        </is>
      </c>
      <c r="J13" s="5" t="inlineStr">
        <is>
          <t>Not run</t>
        </is>
      </c>
      <c r="K13" s="5" t="inlineStr">
        <is>
          <t>Not run</t>
        </is>
      </c>
      <c r="L13" s="5" t="inlineStr">
        <is>
          <t>Not run</t>
        </is>
      </c>
      <c r="M13" s="5" t="inlineStr">
        <is>
          <t>Not run</t>
        </is>
      </c>
      <c r="N13" s="5" t="inlineStr"/>
    </row>
    <row r="14">
      <c r="A14" s="7" t="inlineStr">
        <is>
          <t>RC-10</t>
        </is>
      </c>
      <c r="B14" s="7" t="inlineStr">
        <is>
          <t>Won Deal handoff</t>
        </is>
      </c>
      <c r="C14" s="7" t="inlineStr">
        <is>
          <t>Won</t>
        </is>
      </c>
      <c r="D14" s="8" t="inlineStr">
        <is>
          <t>Event</t>
        </is>
      </c>
      <c r="E14" s="8" t="inlineStr">
        <is>
          <t>Not run</t>
        </is>
      </c>
      <c r="F14" s="8" t="inlineStr">
        <is>
          <t>Not run</t>
        </is>
      </c>
      <c r="G14" s="8" t="inlineStr">
        <is>
          <t>Not run</t>
        </is>
      </c>
      <c r="H14" s="8" t="inlineStr">
        <is>
          <t>Not run</t>
        </is>
      </c>
      <c r="I14" s="8" t="inlineStr">
        <is>
          <t>Not run</t>
        </is>
      </c>
      <c r="J14" s="8" t="inlineStr">
        <is>
          <t>Not run</t>
        </is>
      </c>
      <c r="K14" s="8" t="inlineStr">
        <is>
          <t>Not run</t>
        </is>
      </c>
      <c r="L14" s="8" t="inlineStr">
        <is>
          <t>Not run</t>
        </is>
      </c>
      <c r="M14" s="8" t="inlineStr">
        <is>
          <t>Not run</t>
        </is>
      </c>
      <c r="N14" s="8" t="inlineStr"/>
    </row>
    <row r="15">
      <c r="A15" s="4" t="inlineStr">
        <is>
          <t>RC-11</t>
        </is>
      </c>
      <c r="B15" s="4" t="inlineStr">
        <is>
          <t>Accepted quote to draft invoice</t>
        </is>
      </c>
      <c r="C15" s="4" t="inlineStr">
        <is>
          <t>Won</t>
        </is>
      </c>
      <c r="D15" s="5" t="inlineStr">
        <is>
          <t>Event</t>
        </is>
      </c>
      <c r="E15" s="5" t="inlineStr">
        <is>
          <t>Not run</t>
        </is>
      </c>
      <c r="F15" s="5" t="inlineStr">
        <is>
          <t>Not run</t>
        </is>
      </c>
      <c r="G15" s="5" t="inlineStr">
        <is>
          <t>Not run</t>
        </is>
      </c>
      <c r="H15" s="5" t="inlineStr">
        <is>
          <t>Not run</t>
        </is>
      </c>
      <c r="I15" s="5" t="inlineStr">
        <is>
          <t>Not run</t>
        </is>
      </c>
      <c r="J15" s="5" t="inlineStr">
        <is>
          <t>Not run</t>
        </is>
      </c>
      <c r="K15" s="5" t="inlineStr">
        <is>
          <t>Not run</t>
        </is>
      </c>
      <c r="L15" s="5" t="inlineStr">
        <is>
          <t>Not run</t>
        </is>
      </c>
      <c r="M15" s="5" t="inlineStr">
        <is>
          <t>Not run</t>
        </is>
      </c>
      <c r="N15" s="5" t="inlineStr"/>
    </row>
    <row r="16">
      <c r="A16" s="7" t="inlineStr">
        <is>
          <t>RC-12</t>
        </is>
      </c>
      <c r="B16" s="7" t="inlineStr">
        <is>
          <t>Lost Deal reason follow-up</t>
        </is>
      </c>
      <c r="C16" s="7" t="inlineStr">
        <is>
          <t>Lost</t>
        </is>
      </c>
      <c r="D16" s="8" t="inlineStr">
        <is>
          <t>Event</t>
        </is>
      </c>
      <c r="E16" s="8" t="inlineStr">
        <is>
          <t>Not run</t>
        </is>
      </c>
      <c r="F16" s="8" t="inlineStr">
        <is>
          <t>Not run</t>
        </is>
      </c>
      <c r="G16" s="8" t="inlineStr">
        <is>
          <t>Not run</t>
        </is>
      </c>
      <c r="H16" s="8" t="inlineStr">
        <is>
          <t>Not run</t>
        </is>
      </c>
      <c r="I16" s="8" t="inlineStr">
        <is>
          <t>Not run</t>
        </is>
      </c>
      <c r="J16" s="8" t="inlineStr">
        <is>
          <t>Not run</t>
        </is>
      </c>
      <c r="K16" s="8" t="inlineStr">
        <is>
          <t>Not run</t>
        </is>
      </c>
      <c r="L16" s="8" t="inlineStr">
        <is>
          <t>Not run</t>
        </is>
      </c>
      <c r="M16" s="8" t="inlineStr">
        <is>
          <t>Not run</t>
        </is>
      </c>
      <c r="N16" s="8" t="inlineStr"/>
    </row>
    <row r="18">
      <c r="A18" s="15" t="inlineStr">
        <is>
          <t>Cells outstanding</t>
        </is>
      </c>
      <c r="B18" s="15">
        <f>COUNTIF(E5:M16,"Fail")+COUNTIF(E5:M16,"Blocked")+COUNTIF(E5:M16,"Not run")</f>
        <v/>
      </c>
    </row>
  </sheetData>
  <autoFilter ref="A4:N16"/>
  <conditionalFormatting sqref="E5:M1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  <cfRule type="cellIs" priority="5" operator="equal" dxfId="4">
      <formula>"Not run"</formula>
    </cfRule>
  </conditionalFormatting>
  <dataValidations count="1">
    <dataValidation sqref="E5:M16" showDropDown="0" showInputMessage="0" showErrorMessage="0" allowBlank="0" type="list">
      <formula1>"Not run,Pass,Fail,Blocked,N/A"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5" customWidth="1" min="5" max="5"/>
    <col width="10" customWidth="1" min="6" max="6"/>
    <col width="30" customWidth="1" min="7" max="7"/>
    <col width="38" customWidth="1" min="8" max="8"/>
    <col width="44" customWidth="1" min="9" max="9"/>
    <col width="20" customWidth="1" min="10" max="10"/>
    <col width="11" customWidth="1" min="11" max="11"/>
    <col width="26" customWidth="1" min="12" max="12"/>
    <col width="10" customWidth="1" min="13" max="13"/>
    <col width="12" customWidth="1" min="14" max="14"/>
    <col width="14" customWidth="1" min="15" max="15"/>
    <col width="16" customWidth="1" min="16" max="16"/>
    <col width="22" customWidth="1" min="17" max="17"/>
    <col width="11" customWidth="1" min="18" max="18"/>
    <col width="15" customWidth="1" min="19" max="19"/>
    <col width="10" customWidth="1" min="20" max="20"/>
    <col width="11" customWidth="1" min="21" max="21"/>
    <col width="22" customWidth="1" min="22" max="22"/>
  </cols>
  <sheetData>
    <row r="1">
      <c r="A1" s="1" t="inlineStr">
        <is>
          <t>QA checklist — Phase 1C</t>
        </is>
      </c>
    </row>
    <row r="2">
      <c r="A2" s="2" t="inlineStr">
        <is>
          <t>Advanced builder — navigation, catalogue, editing flow, simulator, publishing, state and required work.</t>
        </is>
      </c>
    </row>
    <row r="3">
      <c r="A3" s="2" t="inlineStr">
        <is>
          <t>Fill in from Status onwards. Everything to the left describes the test.</t>
        </is>
      </c>
    </row>
    <row r="4">
      <c r="A4" s="3" t="inlineStr">
        <is>
          <t>ID</t>
        </is>
      </c>
      <c r="B4" s="3" t="inlineStr">
        <is>
          <t>Release</t>
        </is>
      </c>
      <c r="C4" s="3" t="inlineStr">
        <is>
          <t>Applies from</t>
        </is>
      </c>
      <c r="D4" s="3" t="inlineStr">
        <is>
          <t>Area</t>
        </is>
      </c>
      <c r="E4" s="3" t="inlineStr">
        <is>
          <t>Pri</t>
        </is>
      </c>
      <c r="F4" s="3" t="inlineStr">
        <is>
          <t>Method</t>
        </is>
      </c>
      <c r="G4" s="3" t="inlineStr">
        <is>
          <t>Precondition</t>
        </is>
      </c>
      <c r="H4" s="3" t="inlineStr">
        <is>
          <t>Steps</t>
        </is>
      </c>
      <c r="I4" s="3" t="inlineStr">
        <is>
          <t>Expected result</t>
        </is>
      </c>
      <c r="J4" s="3" t="inlineStr">
        <is>
          <t>Traces to</t>
        </is>
      </c>
      <c r="K4" s="3" t="inlineStr">
        <is>
          <t>Status</t>
        </is>
      </c>
      <c r="L4" s="3" t="inlineStr">
        <is>
          <t>Actual result</t>
        </is>
      </c>
      <c r="M4" s="3" t="inlineStr">
        <is>
          <t>Build</t>
        </is>
      </c>
      <c r="N4" s="3" t="inlineStr">
        <is>
          <t>Environment</t>
        </is>
      </c>
      <c r="O4" s="3" t="inlineStr">
        <is>
          <t>Browser / device</t>
        </is>
      </c>
      <c r="P4" s="3" t="inlineStr">
        <is>
          <t>Test data</t>
        </is>
      </c>
      <c r="Q4" s="3" t="inlineStr">
        <is>
          <t>Evidence link</t>
        </is>
      </c>
      <c r="R4" s="3" t="inlineStr">
        <is>
          <t>Defect ID</t>
        </is>
      </c>
      <c r="S4" s="3" t="inlineStr">
        <is>
          <t>Waiver approved by</t>
        </is>
      </c>
      <c r="T4" s="3" t="inlineStr">
        <is>
          <t>Tester</t>
        </is>
      </c>
      <c r="U4" s="3" t="inlineStr">
        <is>
          <t>Date</t>
        </is>
      </c>
      <c r="V4" s="3" t="inlineStr">
        <is>
          <t>Notes</t>
        </is>
      </c>
    </row>
    <row r="5" ht="40" customHeight="1">
      <c r="A5" s="4" t="inlineStr">
        <is>
          <t>1C-01</t>
        </is>
      </c>
      <c r="B5" s="5" t="inlineStr">
        <is>
          <t>Phase 1C</t>
        </is>
      </c>
      <c r="C5" s="5" t="inlineStr">
        <is>
          <t>Phase 1C</t>
        </is>
      </c>
      <c r="D5" s="4" t="inlineStr">
        <is>
          <t>Creation</t>
        </is>
      </c>
      <c r="E5" s="5" t="inlineStr">
        <is>
          <t>P1</t>
        </is>
      </c>
      <c r="F5" s="5" t="inlineStr">
        <is>
          <t>Manual</t>
        </is>
      </c>
      <c r="G5" s="6" t="inlineStr">
        <is>
          <t>Phase 1C build.</t>
        </is>
      </c>
      <c r="H5" s="6" t="inlineStr">
        <is>
          <t>Open Create Automation.</t>
        </is>
      </c>
      <c r="I5" s="6" t="inlineStr">
        <is>
          <t>Exactly two routes: start from a recipe, or start from scratch.</t>
        </is>
      </c>
      <c r="J5" s="6" t="inlineStr">
        <is>
          <t>FR-01 / AC-BLD-03</t>
        </is>
      </c>
      <c r="K5" s="5" t="inlineStr">
        <is>
          <t>Not run</t>
        </is>
      </c>
      <c r="L5" s="6" t="inlineStr"/>
      <c r="M5" s="5" t="inlineStr"/>
      <c r="N5" s="4" t="inlineStr"/>
      <c r="O5" s="4" t="inlineStr"/>
      <c r="P5" s="4" t="inlineStr"/>
      <c r="Q5" s="6" t="inlineStr"/>
      <c r="R5" s="4" t="inlineStr"/>
      <c r="S5" s="4" t="inlineStr"/>
      <c r="T5" s="4" t="inlineStr"/>
      <c r="U5" s="5" t="inlineStr"/>
      <c r="V5" s="6" t="inlineStr"/>
    </row>
    <row r="6" ht="40" customHeight="1">
      <c r="A6" s="7" t="inlineStr">
        <is>
          <t>1C-02</t>
        </is>
      </c>
      <c r="B6" s="8" t="inlineStr">
        <is>
          <t>Phase 1C</t>
        </is>
      </c>
      <c r="C6" s="8" t="inlineStr">
        <is>
          <t>Phase 1C</t>
        </is>
      </c>
      <c r="D6" s="7" t="inlineStr">
        <is>
          <t>Creation</t>
        </is>
      </c>
      <c r="E6" s="8" t="inlineStr">
        <is>
          <t>P1</t>
        </is>
      </c>
      <c r="F6" s="8" t="inlineStr">
        <is>
          <t>Manual</t>
        </is>
      </c>
      <c r="G6" s="9" t="inlineStr">
        <is>
          <t>A pipeline with no Automations.</t>
        </is>
      </c>
      <c r="H6" s="9" t="inlineStr">
        <is>
          <t>Open it.</t>
        </is>
      </c>
      <c r="I6" s="9" t="inlineStr">
        <is>
          <t>Opens to an empty state that explains the situation and offers Create Automation.</t>
        </is>
      </c>
      <c r="J6" s="9" t="inlineStr">
        <is>
          <t>FR-23 / AC-BLD-02</t>
        </is>
      </c>
      <c r="K6" s="8" t="inlineStr">
        <is>
          <t>Not run</t>
        </is>
      </c>
      <c r="L6" s="9" t="inlineStr"/>
      <c r="M6" s="8" t="inlineStr"/>
      <c r="N6" s="7" t="inlineStr"/>
      <c r="O6" s="7" t="inlineStr"/>
      <c r="P6" s="7" t="inlineStr"/>
      <c r="Q6" s="9" t="inlineStr"/>
      <c r="R6" s="7" t="inlineStr"/>
      <c r="S6" s="7" t="inlineStr"/>
      <c r="T6" s="7" t="inlineStr"/>
      <c r="U6" s="8" t="inlineStr"/>
      <c r="V6" s="9" t="inlineStr"/>
    </row>
    <row r="7" ht="40" customHeight="1">
      <c r="A7" s="4" t="inlineStr">
        <is>
          <t>1C-03</t>
        </is>
      </c>
      <c r="B7" s="5" t="inlineStr">
        <is>
          <t>Phase 1C</t>
        </is>
      </c>
      <c r="C7" s="5" t="inlineStr">
        <is>
          <t>Phase 1C</t>
        </is>
      </c>
      <c r="D7" s="4" t="inlineStr">
        <is>
          <t>Navigation</t>
        </is>
      </c>
      <c r="E7" s="5" t="inlineStr">
        <is>
          <t>P1</t>
        </is>
      </c>
      <c r="F7" s="5" t="inlineStr">
        <is>
          <t>Manual</t>
        </is>
      </c>
      <c r="G7" s="6" t="inlineStr">
        <is>
          <t>Deals shows more than one pipeline, including a non-Sales one.</t>
        </is>
      </c>
      <c r="H7" s="6" t="inlineStr">
        <is>
          <t>Open the Automation pipeline chooser.</t>
        </is>
      </c>
      <c r="I7" s="6" t="inlineStr">
        <is>
          <t>Every pipeline that appears in Deals is listed in the chooser, with the same names and in a predictable order.</t>
        </is>
      </c>
      <c r="J7" s="6" t="inlineStr">
        <is>
          <t>AC-BLD-01</t>
        </is>
      </c>
      <c r="K7" s="5" t="inlineStr">
        <is>
          <t>Not run</t>
        </is>
      </c>
      <c r="L7" s="6" t="inlineStr"/>
      <c r="M7" s="5" t="inlineStr"/>
      <c r="N7" s="4" t="inlineStr"/>
      <c r="O7" s="4" t="inlineStr"/>
      <c r="P7" s="4" t="inlineStr"/>
      <c r="Q7" s="6" t="inlineStr"/>
      <c r="R7" s="4" t="inlineStr"/>
      <c r="S7" s="4" t="inlineStr"/>
      <c r="T7" s="4" t="inlineStr"/>
      <c r="U7" s="5" t="inlineStr"/>
      <c r="V7" s="6" t="inlineStr"/>
    </row>
    <row r="8" ht="40" customHeight="1">
      <c r="A8" s="7" t="inlineStr">
        <is>
          <t>1C-04</t>
        </is>
      </c>
      <c r="B8" s="8" t="inlineStr">
        <is>
          <t>Phase 1C</t>
        </is>
      </c>
      <c r="C8" s="8" t="inlineStr">
        <is>
          <t>Phase 1C</t>
        </is>
      </c>
      <c r="D8" s="7" t="inlineStr">
        <is>
          <t>Navigation</t>
        </is>
      </c>
      <c r="E8" s="8" t="inlineStr">
        <is>
          <t>P1</t>
        </is>
      </c>
      <c r="F8" s="8" t="inlineStr">
        <is>
          <t>Manual</t>
        </is>
      </c>
      <c r="G8" s="9" t="inlineStr">
        <is>
          <t>A non-Sales pipeline exists.</t>
        </is>
      </c>
      <c r="H8" s="9" t="inlineStr">
        <is>
          <t>Choose it from the chooser.</t>
        </is>
      </c>
      <c r="I8" s="9" t="inlineStr">
        <is>
          <t>That pipeline opens. It never falls back to Sales Pipeline.</t>
        </is>
      </c>
      <c r="J8" s="9" t="inlineStr">
        <is>
          <t>AC-BLD-01</t>
        </is>
      </c>
      <c r="K8" s="8" t="inlineStr">
        <is>
          <t>Not run</t>
        </is>
      </c>
      <c r="L8" s="9" t="inlineStr"/>
      <c r="M8" s="8" t="inlineStr"/>
      <c r="N8" s="7" t="inlineStr"/>
      <c r="O8" s="7" t="inlineStr"/>
      <c r="P8" s="7" t="inlineStr"/>
      <c r="Q8" s="9" t="inlineStr"/>
      <c r="R8" s="7" t="inlineStr"/>
      <c r="S8" s="7" t="inlineStr"/>
      <c r="T8" s="7" t="inlineStr"/>
      <c r="U8" s="8" t="inlineStr"/>
      <c r="V8" s="9" t="inlineStr"/>
    </row>
    <row r="9" ht="40" customHeight="1">
      <c r="A9" s="4" t="inlineStr">
        <is>
          <t>1C-05</t>
        </is>
      </c>
      <c r="B9" s="5" t="inlineStr">
        <is>
          <t>Phase 1C</t>
        </is>
      </c>
      <c r="C9" s="5" t="inlineStr">
        <is>
          <t>Phase 1C</t>
        </is>
      </c>
      <c r="D9" s="4" t="inlineStr">
        <is>
          <t>Navigation</t>
        </is>
      </c>
      <c r="E9" s="5" t="inlineStr">
        <is>
          <t>P1</t>
        </is>
      </c>
      <c r="F9" s="5" t="inlineStr">
        <is>
          <t>Manual</t>
        </is>
      </c>
      <c r="G9" s="6" t="inlineStr">
        <is>
          <t>A Deal belonging to a non-Sales pipeline.</t>
        </is>
      </c>
      <c r="H9" s="6" t="inlineStr">
        <is>
          <t>Click the Automation status control on the Deal page.</t>
        </is>
      </c>
      <c r="I9" s="6" t="inlineStr">
        <is>
          <t>That Deal's own pipeline opens, focused on the right stage. It never falls back to Sales Pipeline.</t>
        </is>
      </c>
      <c r="J9" s="6" t="inlineStr">
        <is>
          <t>AC-BLD-01</t>
        </is>
      </c>
      <c r="K9" s="5" t="inlineStr">
        <is>
          <t>Not run</t>
        </is>
      </c>
      <c r="L9" s="6" t="inlineStr"/>
      <c r="M9" s="5" t="inlineStr"/>
      <c r="N9" s="4" t="inlineStr"/>
      <c r="O9" s="4" t="inlineStr"/>
      <c r="P9" s="4" t="inlineStr"/>
      <c r="Q9" s="6" t="inlineStr"/>
      <c r="R9" s="4" t="inlineStr"/>
      <c r="S9" s="4" t="inlineStr"/>
      <c r="T9" s="4" t="inlineStr"/>
      <c r="U9" s="5" t="inlineStr"/>
      <c r="V9" s="6" t="inlineStr"/>
    </row>
    <row r="10" ht="40" customHeight="1">
      <c r="A10" s="7" t="inlineStr">
        <is>
          <t>1C-06</t>
        </is>
      </c>
      <c r="B10" s="8" t="inlineStr">
        <is>
          <t>Phase 1C</t>
        </is>
      </c>
      <c r="C10" s="8" t="inlineStr">
        <is>
          <t>Phase 1C</t>
        </is>
      </c>
      <c r="D10" s="7" t="inlineStr">
        <is>
          <t>Catalogue</t>
        </is>
      </c>
      <c r="E10" s="8" t="inlineStr">
        <is>
          <t>P1</t>
        </is>
      </c>
      <c r="F10" s="8" t="inlineStr">
        <is>
          <t>Automated</t>
        </is>
      </c>
      <c r="G10" s="9" t="inlineStr">
        <is>
          <t>The builder open in each of the seven stages.</t>
        </is>
      </c>
      <c r="H10" s="9" t="inlineStr">
        <is>
          <t>Compare the offered blocks.</t>
        </is>
      </c>
      <c r="I10" s="9" t="inlineStr">
        <is>
          <t>The shared core is identical in all seven. Only quote-specific additions differ.</t>
        </is>
      </c>
      <c r="J10" s="9" t="inlineStr">
        <is>
          <t>FR-06 / AC-BLD-05</t>
        </is>
      </c>
      <c r="K10" s="8" t="inlineStr">
        <is>
          <t>Not run</t>
        </is>
      </c>
      <c r="L10" s="9" t="inlineStr"/>
      <c r="M10" s="8" t="inlineStr"/>
      <c r="N10" s="7" t="inlineStr"/>
      <c r="O10" s="7" t="inlineStr"/>
      <c r="P10" s="7" t="inlineStr"/>
      <c r="Q10" s="9" t="inlineStr"/>
      <c r="R10" s="7" t="inlineStr"/>
      <c r="S10" s="7" t="inlineStr"/>
      <c r="T10" s="7" t="inlineStr"/>
      <c r="U10" s="8" t="inlineStr"/>
      <c r="V10" s="9" t="inlineStr"/>
    </row>
    <row r="11" ht="40" customHeight="1">
      <c r="A11" s="4" t="inlineStr">
        <is>
          <t>1C-07</t>
        </is>
      </c>
      <c r="B11" s="5" t="inlineStr">
        <is>
          <t>Phase 1C</t>
        </is>
      </c>
      <c r="C11" s="5" t="inlineStr">
        <is>
          <t>Phase 1C</t>
        </is>
      </c>
      <c r="D11" s="4" t="inlineStr">
        <is>
          <t>Catalogue</t>
        </is>
      </c>
      <c r="E11" s="5" t="inlineStr">
        <is>
          <t>P1</t>
        </is>
      </c>
      <c r="F11" s="5" t="inlineStr">
        <is>
          <t>Manual</t>
        </is>
      </c>
      <c r="G11" s="6" t="inlineStr">
        <is>
          <t>The builder open in In Progress.</t>
        </is>
      </c>
      <c r="H11" s="6" t="inlineStr">
        <is>
          <t>Look for a Lead-only trigger.</t>
        </is>
      </c>
      <c r="I11" s="6" t="inlineStr">
        <is>
          <t>The incompatible trigger is visible but struck through and cannot be selected. A short reason explains why it does not apply here.</t>
        </is>
      </c>
      <c r="J11" s="6" t="inlineStr">
        <is>
          <t>FR-11 / AC-BLD-06</t>
        </is>
      </c>
      <c r="K11" s="5" t="inlineStr">
        <is>
          <t>Not run</t>
        </is>
      </c>
      <c r="L11" s="6" t="inlineStr"/>
      <c r="M11" s="5" t="inlineStr"/>
      <c r="N11" s="4" t="inlineStr"/>
      <c r="O11" s="4" t="inlineStr"/>
      <c r="P11" s="4" t="inlineStr"/>
      <c r="Q11" s="6" t="inlineStr"/>
      <c r="R11" s="4" t="inlineStr"/>
      <c r="S11" s="4" t="inlineStr"/>
      <c r="T11" s="4" t="inlineStr"/>
      <c r="U11" s="5" t="inlineStr"/>
      <c r="V11" s="6" t="inlineStr"/>
    </row>
    <row r="12" ht="40" customHeight="1">
      <c r="A12" s="7" t="inlineStr">
        <is>
          <t>1C-08</t>
        </is>
      </c>
      <c r="B12" s="8" t="inlineStr">
        <is>
          <t>Phase 1C</t>
        </is>
      </c>
      <c r="C12" s="8" t="inlineStr">
        <is>
          <t>Phase 1C</t>
        </is>
      </c>
      <c r="D12" s="7" t="inlineStr">
        <is>
          <t>Catalogue</t>
        </is>
      </c>
      <c r="E12" s="8" t="inlineStr">
        <is>
          <t>P1</t>
        </is>
      </c>
      <c r="F12" s="8" t="inlineStr">
        <is>
          <t>Manual</t>
        </is>
      </c>
      <c r="G12" s="9" t="inlineStr">
        <is>
          <t>The builder on any stage.</t>
        </is>
      </c>
      <c r="H12" s="9" t="inlineStr">
        <is>
          <t>Try to add an action that sets a Deal stage.</t>
        </is>
      </c>
      <c r="I12" s="9" t="inlineStr">
        <is>
          <t>No such action exists anywhere in the catalogue — not under a different name, and not behind a search.</t>
        </is>
      </c>
      <c r="J12" s="9" t="inlineStr">
        <is>
          <t>FR-08 / AC-BLD-07</t>
        </is>
      </c>
      <c r="K12" s="8" t="inlineStr">
        <is>
          <t>Not run</t>
        </is>
      </c>
      <c r="L12" s="9" t="inlineStr"/>
      <c r="M12" s="8" t="inlineStr"/>
      <c r="N12" s="7" t="inlineStr"/>
      <c r="O12" s="7" t="inlineStr"/>
      <c r="P12" s="7" t="inlineStr"/>
      <c r="Q12" s="9" t="inlineStr"/>
      <c r="R12" s="7" t="inlineStr"/>
      <c r="S12" s="7" t="inlineStr"/>
      <c r="T12" s="7" t="inlineStr"/>
      <c r="U12" s="8" t="inlineStr"/>
      <c r="V12" s="9" t="inlineStr"/>
    </row>
    <row r="13" ht="40" customHeight="1">
      <c r="A13" s="4" t="inlineStr">
        <is>
          <t>1C-09</t>
        </is>
      </c>
      <c r="B13" s="5" t="inlineStr">
        <is>
          <t>Phase 1C</t>
        </is>
      </c>
      <c r="C13" s="5" t="inlineStr">
        <is>
          <t>Phase 1C</t>
        </is>
      </c>
      <c r="D13" s="4" t="inlineStr">
        <is>
          <t>Catalogue</t>
        </is>
      </c>
      <c r="E13" s="5" t="inlineStr">
        <is>
          <t>P1</t>
        </is>
      </c>
      <c r="F13" s="5" t="inlineStr">
        <is>
          <t>Automated</t>
        </is>
      </c>
      <c r="G13" s="6" t="inlineStr">
        <is>
          <t>Phase 1C build.</t>
        </is>
      </c>
      <c r="H13" s="6" t="inlineStr">
        <is>
          <t>Inspect how the block list is produced.</t>
        </is>
      </c>
      <c r="I13" s="6" t="inlineStr">
        <is>
          <t>One shared source. No per-stage hard-coded lists; placement is not a permission key.</t>
        </is>
      </c>
      <c r="J13" s="6" t="inlineStr">
        <is>
          <t>FR-33</t>
        </is>
      </c>
      <c r="K13" s="5" t="inlineStr">
        <is>
          <t>Not run</t>
        </is>
      </c>
      <c r="L13" s="6" t="inlineStr"/>
      <c r="M13" s="5" t="inlineStr"/>
      <c r="N13" s="4" t="inlineStr"/>
      <c r="O13" s="4" t="inlineStr"/>
      <c r="P13" s="4" t="inlineStr"/>
      <c r="Q13" s="6" t="inlineStr"/>
      <c r="R13" s="4" t="inlineStr"/>
      <c r="S13" s="4" t="inlineStr"/>
      <c r="T13" s="4" t="inlineStr"/>
      <c r="U13" s="5" t="inlineStr"/>
      <c r="V13" s="6" t="inlineStr"/>
    </row>
    <row r="14" ht="40" customHeight="1">
      <c r="A14" s="7" t="inlineStr">
        <is>
          <t>1C-10</t>
        </is>
      </c>
      <c r="B14" s="8" t="inlineStr">
        <is>
          <t>Phase 1C</t>
        </is>
      </c>
      <c r="C14" s="8" t="inlineStr">
        <is>
          <t>Phase 1C</t>
        </is>
      </c>
      <c r="D14" s="7" t="inlineStr">
        <is>
          <t>Builder</t>
        </is>
      </c>
      <c r="E14" s="8" t="inlineStr">
        <is>
          <t>P2</t>
        </is>
      </c>
      <c r="F14" s="8" t="inlineStr">
        <is>
          <t>Manual</t>
        </is>
      </c>
      <c r="G14" s="9" t="inlineStr">
        <is>
          <t>An Automation created from In Progress.</t>
        </is>
      </c>
      <c r="H14" s="9" t="inlineStr">
        <is>
          <t>Try to change its stage in the builder.</t>
        </is>
      </c>
      <c r="I14" s="9" t="inlineStr">
        <is>
          <t>The stage selector is read-only and shows why: the Automation was created from that stage.</t>
        </is>
      </c>
      <c r="J14" s="9" t="inlineStr">
        <is>
          <t>A9</t>
        </is>
      </c>
      <c r="K14" s="8" t="inlineStr">
        <is>
          <t>Not run</t>
        </is>
      </c>
      <c r="L14" s="9" t="inlineStr"/>
      <c r="M14" s="8" t="inlineStr"/>
      <c r="N14" s="7" t="inlineStr"/>
      <c r="O14" s="7" t="inlineStr"/>
      <c r="P14" s="7" t="inlineStr"/>
      <c r="Q14" s="9" t="inlineStr"/>
      <c r="R14" s="7" t="inlineStr"/>
      <c r="S14" s="7" t="inlineStr"/>
      <c r="T14" s="7" t="inlineStr"/>
      <c r="U14" s="8" t="inlineStr"/>
      <c r="V14" s="9" t="inlineStr"/>
    </row>
    <row r="15" ht="40" customHeight="1">
      <c r="A15" s="4" t="inlineStr">
        <is>
          <t>1C-11</t>
        </is>
      </c>
      <c r="B15" s="5" t="inlineStr">
        <is>
          <t>Phase 1C</t>
        </is>
      </c>
      <c r="C15" s="5" t="inlineStr">
        <is>
          <t>Phase 1C</t>
        </is>
      </c>
      <c r="D15" s="4" t="inlineStr">
        <is>
          <t>Editing</t>
        </is>
      </c>
      <c r="E15" s="5" t="inlineStr">
        <is>
          <t>P1</t>
        </is>
      </c>
      <c r="F15" s="5" t="inlineStr">
        <is>
          <t>Manual</t>
        </is>
      </c>
      <c r="G15" s="6" t="inlineStr">
        <is>
          <t>A published Automation, nothing changed.</t>
        </is>
      </c>
      <c r="H15" s="6" t="inlineStr">
        <is>
          <t>Look at Save Draft.</t>
        </is>
      </c>
      <c r="I15" s="6" t="inlineStr">
        <is>
          <t>Disabled. Before &amp; After shows 'no unpublished changes', not two identical panes.</t>
        </is>
      </c>
      <c r="J15" s="6" t="inlineStr">
        <is>
          <t>AC-BLD-11</t>
        </is>
      </c>
      <c r="K15" s="5" t="inlineStr">
        <is>
          <t>Not run</t>
        </is>
      </c>
      <c r="L15" s="6" t="inlineStr"/>
      <c r="M15" s="5" t="inlineStr"/>
      <c r="N15" s="4" t="inlineStr"/>
      <c r="O15" s="4" t="inlineStr"/>
      <c r="P15" s="4" t="inlineStr"/>
      <c r="Q15" s="6" t="inlineStr"/>
      <c r="R15" s="4" t="inlineStr"/>
      <c r="S15" s="4" t="inlineStr"/>
      <c r="T15" s="4" t="inlineStr"/>
      <c r="U15" s="5" t="inlineStr"/>
      <c r="V15" s="6" t="inlineStr"/>
    </row>
    <row r="16" ht="40" customHeight="1">
      <c r="A16" s="7" t="inlineStr">
        <is>
          <t>1C-12</t>
        </is>
      </c>
      <c r="B16" s="8" t="inlineStr">
        <is>
          <t>Phase 1C</t>
        </is>
      </c>
      <c r="C16" s="8" t="inlineStr">
        <is>
          <t>Phase 1C</t>
        </is>
      </c>
      <c r="D16" s="7" t="inlineStr">
        <is>
          <t>Editing</t>
        </is>
      </c>
      <c r="E16" s="8" t="inlineStr">
        <is>
          <t>P1</t>
        </is>
      </c>
      <c r="F16" s="8" t="inlineStr">
        <is>
          <t>Manual</t>
        </is>
      </c>
      <c r="G16" s="9" t="inlineStr">
        <is>
          <t>A published Automation.</t>
        </is>
      </c>
      <c r="H16" s="9" t="inlineStr">
        <is>
          <t>Change one step.</t>
        </is>
      </c>
      <c r="I16" s="9" t="inlineStr">
        <is>
          <t>'Unpublished changes' appears, and Before &amp; After compares published with draft.</t>
        </is>
      </c>
      <c r="J16" s="9" t="inlineStr">
        <is>
          <t>AC-BLD-11</t>
        </is>
      </c>
      <c r="K16" s="8" t="inlineStr">
        <is>
          <t>Not run</t>
        </is>
      </c>
      <c r="L16" s="9" t="inlineStr"/>
      <c r="M16" s="8" t="inlineStr"/>
      <c r="N16" s="7" t="inlineStr"/>
      <c r="O16" s="7" t="inlineStr"/>
      <c r="P16" s="7" t="inlineStr"/>
      <c r="Q16" s="9" t="inlineStr"/>
      <c r="R16" s="7" t="inlineStr"/>
      <c r="S16" s="7" t="inlineStr"/>
      <c r="T16" s="7" t="inlineStr"/>
      <c r="U16" s="8" t="inlineStr"/>
      <c r="V16" s="9" t="inlineStr"/>
    </row>
    <row r="17" ht="40" customHeight="1">
      <c r="A17" s="4" t="inlineStr">
        <is>
          <t>1C-13</t>
        </is>
      </c>
      <c r="B17" s="5" t="inlineStr">
        <is>
          <t>Phase 1C</t>
        </is>
      </c>
      <c r="C17" s="5" t="inlineStr">
        <is>
          <t>Phase 1C</t>
        </is>
      </c>
      <c r="D17" s="4" t="inlineStr">
        <is>
          <t>Editing</t>
        </is>
      </c>
      <c r="E17" s="5" t="inlineStr">
        <is>
          <t>P1</t>
        </is>
      </c>
      <c r="F17" s="5" t="inlineStr">
        <is>
          <t>Manual</t>
        </is>
      </c>
      <c r="G17" s="6" t="inlineStr">
        <is>
          <t>A draft that passed a test.</t>
        </is>
      </c>
      <c r="H17" s="6" t="inlineStr">
        <is>
          <t>Edit it again.</t>
        </is>
      </c>
      <c r="I17" s="6" t="inlineStr">
        <is>
          <t>The state becomes 'Test outdated'. Publishing is still allowed if validation is clean.</t>
        </is>
      </c>
      <c r="J17" s="6" t="inlineStr">
        <is>
          <t>FR-13 / AC-BLD-10</t>
        </is>
      </c>
      <c r="K17" s="5" t="inlineStr">
        <is>
          <t>Not run</t>
        </is>
      </c>
      <c r="L17" s="6" t="inlineStr"/>
      <c r="M17" s="5" t="inlineStr"/>
      <c r="N17" s="4" t="inlineStr"/>
      <c r="O17" s="4" t="inlineStr"/>
      <c r="P17" s="4" t="inlineStr"/>
      <c r="Q17" s="6" t="inlineStr"/>
      <c r="R17" s="4" t="inlineStr"/>
      <c r="S17" s="4" t="inlineStr"/>
      <c r="T17" s="4" t="inlineStr"/>
      <c r="U17" s="5" t="inlineStr"/>
      <c r="V17" s="6" t="inlineStr"/>
    </row>
    <row r="18" ht="40" customHeight="1">
      <c r="A18" s="7" t="inlineStr">
        <is>
          <t>1C-14</t>
        </is>
      </c>
      <c r="B18" s="8" t="inlineStr">
        <is>
          <t>Phase 1C</t>
        </is>
      </c>
      <c r="C18" s="8" t="inlineStr">
        <is>
          <t>Phase 1C</t>
        </is>
      </c>
      <c r="D18" s="7" t="inlineStr">
        <is>
          <t>Editing</t>
        </is>
      </c>
      <c r="E18" s="8" t="inlineStr">
        <is>
          <t>P1</t>
        </is>
      </c>
      <c r="F18" s="8" t="inlineStr">
        <is>
          <t>Manual</t>
        </is>
      </c>
      <c r="G18" s="9" t="inlineStr">
        <is>
          <t>A draft with unsaved changes.</t>
        </is>
      </c>
      <c r="H18" s="9" t="inlineStr">
        <is>
          <t>Exit the builder.</t>
        </is>
      </c>
      <c r="I18" s="9" t="inlineStr">
        <is>
          <t>Offered Continue editing, Discard changes, and Save draft &amp; exit.</t>
        </is>
      </c>
      <c r="J18" s="9" t="inlineStr">
        <is>
          <t>A11</t>
        </is>
      </c>
      <c r="K18" s="8" t="inlineStr">
        <is>
          <t>Not run</t>
        </is>
      </c>
      <c r="L18" s="9" t="inlineStr"/>
      <c r="M18" s="8" t="inlineStr"/>
      <c r="N18" s="7" t="inlineStr"/>
      <c r="O18" s="7" t="inlineStr"/>
      <c r="P18" s="7" t="inlineStr"/>
      <c r="Q18" s="9" t="inlineStr"/>
      <c r="R18" s="7" t="inlineStr"/>
      <c r="S18" s="7" t="inlineStr"/>
      <c r="T18" s="7" t="inlineStr"/>
      <c r="U18" s="8" t="inlineStr"/>
      <c r="V18" s="9" t="inlineStr"/>
    </row>
    <row r="19" ht="40" customHeight="1">
      <c r="A19" s="4" t="inlineStr">
        <is>
          <t>1C-15</t>
        </is>
      </c>
      <c r="B19" s="5" t="inlineStr">
        <is>
          <t>Phase 1C</t>
        </is>
      </c>
      <c r="C19" s="5" t="inlineStr">
        <is>
          <t>Phase 1C</t>
        </is>
      </c>
      <c r="D19" s="4" t="inlineStr">
        <is>
          <t>Editing</t>
        </is>
      </c>
      <c r="E19" s="5" t="inlineStr">
        <is>
          <t>P2</t>
        </is>
      </c>
      <c r="F19" s="5" t="inlineStr">
        <is>
          <t>Manual</t>
        </is>
      </c>
      <c r="G19" s="6" t="inlineStr">
        <is>
          <t>A draft with no unsaved changes.</t>
        </is>
      </c>
      <c r="H19" s="6" t="inlineStr">
        <is>
          <t>Exit the builder.</t>
        </is>
      </c>
      <c r="I19" s="6" t="inlineStr">
        <is>
          <t>The builder closes immediately with no prompt, and nothing is saved or discarded.</t>
        </is>
      </c>
      <c r="J19" s="6" t="inlineStr">
        <is>
          <t>A11</t>
        </is>
      </c>
      <c r="K19" s="5" t="inlineStr">
        <is>
          <t>Not run</t>
        </is>
      </c>
      <c r="L19" s="6" t="inlineStr"/>
      <c r="M19" s="5" t="inlineStr"/>
      <c r="N19" s="4" t="inlineStr"/>
      <c r="O19" s="4" t="inlineStr"/>
      <c r="P19" s="4" t="inlineStr"/>
      <c r="Q19" s="6" t="inlineStr"/>
      <c r="R19" s="4" t="inlineStr"/>
      <c r="S19" s="4" t="inlineStr"/>
      <c r="T19" s="4" t="inlineStr"/>
      <c r="U19" s="5" t="inlineStr"/>
      <c r="V19" s="6" t="inlineStr"/>
    </row>
    <row r="20" ht="40" customHeight="1">
      <c r="A20" s="7" t="inlineStr">
        <is>
          <t>1C-16</t>
        </is>
      </c>
      <c r="B20" s="8" t="inlineStr">
        <is>
          <t>Phase 1C</t>
        </is>
      </c>
      <c r="C20" s="8" t="inlineStr">
        <is>
          <t>Phase 1C</t>
        </is>
      </c>
      <c r="D20" s="7" t="inlineStr">
        <is>
          <t>Simulator</t>
        </is>
      </c>
      <c r="E20" s="8" t="inlineStr">
        <is>
          <t>P1</t>
        </is>
      </c>
      <c r="F20" s="8" t="inlineStr">
        <is>
          <t>Manual</t>
        </is>
      </c>
      <c r="G20" s="9" t="inlineStr">
        <is>
          <t>A draft ready to test.</t>
        </is>
      </c>
      <c r="H20" s="9" t="inlineStr">
        <is>
          <t>Run a test.</t>
        </is>
      </c>
      <c r="I20" s="9" t="inlineStr">
        <is>
          <t>Timeline opens as the default tab. No live CRM record is created, changed or deleted, and the result says so explicitly.</t>
        </is>
      </c>
      <c r="J20" s="9" t="inlineStr">
        <is>
          <t>FR-12 / AC-BLD-09</t>
        </is>
      </c>
      <c r="K20" s="8" t="inlineStr">
        <is>
          <t>Not run</t>
        </is>
      </c>
      <c r="L20" s="9" t="inlineStr"/>
      <c r="M20" s="8" t="inlineStr"/>
      <c r="N20" s="7" t="inlineStr"/>
      <c r="O20" s="7" t="inlineStr"/>
      <c r="P20" s="7" t="inlineStr"/>
      <c r="Q20" s="9" t="inlineStr"/>
      <c r="R20" s="7" t="inlineStr"/>
      <c r="S20" s="7" t="inlineStr"/>
      <c r="T20" s="7" t="inlineStr"/>
      <c r="U20" s="8" t="inlineStr"/>
      <c r="V20" s="9" t="inlineStr"/>
    </row>
    <row r="21" ht="40" customHeight="1">
      <c r="A21" s="4" t="inlineStr">
        <is>
          <t>1C-17</t>
        </is>
      </c>
      <c r="B21" s="5" t="inlineStr">
        <is>
          <t>Phase 1C</t>
        </is>
      </c>
      <c r="C21" s="5" t="inlineStr">
        <is>
          <t>Phase 1C</t>
        </is>
      </c>
      <c r="D21" s="4" t="inlineStr">
        <is>
          <t>Simulator</t>
        </is>
      </c>
      <c r="E21" s="5" t="inlineStr">
        <is>
          <t>P1</t>
        </is>
      </c>
      <c r="F21" s="5" t="inlineStr">
        <is>
          <t>Manual</t>
        </is>
      </c>
      <c r="G21" s="6" t="inlineStr">
        <is>
          <t>A test running.</t>
        </is>
      </c>
      <c r="H21" s="6" t="inlineStr">
        <is>
          <t>Use Play, Step, Reset and Speed.</t>
        </is>
      </c>
      <c r="I21" s="6" t="inlineStr">
        <is>
          <t>Play runs the flow, Step advances one step, Reset returns to the start and Speed changes the playback rate. All four respond.</t>
        </is>
      </c>
      <c r="J21" s="6" t="inlineStr">
        <is>
          <t>AC-BLD-09</t>
        </is>
      </c>
      <c r="K21" s="5" t="inlineStr">
        <is>
          <t>Not run</t>
        </is>
      </c>
      <c r="L21" s="6" t="inlineStr"/>
      <c r="M21" s="5" t="inlineStr"/>
      <c r="N21" s="4" t="inlineStr"/>
      <c r="O21" s="4" t="inlineStr"/>
      <c r="P21" s="4" t="inlineStr"/>
      <c r="Q21" s="6" t="inlineStr"/>
      <c r="R21" s="4" t="inlineStr"/>
      <c r="S21" s="4" t="inlineStr"/>
      <c r="T21" s="4" t="inlineStr"/>
      <c r="U21" s="5" t="inlineStr"/>
      <c r="V21" s="6" t="inlineStr"/>
    </row>
    <row r="22" ht="40" customHeight="1">
      <c r="A22" s="7" t="inlineStr">
        <is>
          <t>1C-18</t>
        </is>
      </c>
      <c r="B22" s="8" t="inlineStr">
        <is>
          <t>Phase 1C</t>
        </is>
      </c>
      <c r="C22" s="8" t="inlineStr">
        <is>
          <t>Phase 1C</t>
        </is>
      </c>
      <c r="D22" s="7" t="inlineStr">
        <is>
          <t>Publish</t>
        </is>
      </c>
      <c r="E22" s="8" t="inlineStr">
        <is>
          <t>P1</t>
        </is>
      </c>
      <c r="F22" s="8" t="inlineStr">
        <is>
          <t>Manual</t>
        </is>
      </c>
      <c r="G22" s="9" t="inlineStr">
        <is>
          <t>A valid draft, never tested.</t>
        </is>
      </c>
      <c r="H22" s="9" t="inlineStr">
        <is>
          <t>Publish it.</t>
        </is>
      </c>
      <c r="I22" s="9" t="inlineStr">
        <is>
          <t>Publishing succeeds. A missing or outdated test does not block it, and the published version is recorded.</t>
        </is>
      </c>
      <c r="J22" s="9" t="inlineStr">
        <is>
          <t>FR-13 / AC-BLD-10</t>
        </is>
      </c>
      <c r="K22" s="8" t="inlineStr">
        <is>
          <t>Not run</t>
        </is>
      </c>
      <c r="L22" s="9" t="inlineStr"/>
      <c r="M22" s="8" t="inlineStr"/>
      <c r="N22" s="7" t="inlineStr"/>
      <c r="O22" s="7" t="inlineStr"/>
      <c r="P22" s="7" t="inlineStr"/>
      <c r="Q22" s="9" t="inlineStr"/>
      <c r="R22" s="7" t="inlineStr"/>
      <c r="S22" s="7" t="inlineStr"/>
      <c r="T22" s="7" t="inlineStr"/>
      <c r="U22" s="8" t="inlineStr"/>
      <c r="V22" s="9" t="inlineStr"/>
    </row>
    <row r="23" ht="40" customHeight="1">
      <c r="A23" s="4" t="inlineStr">
        <is>
          <t>1C-19</t>
        </is>
      </c>
      <c r="B23" s="5" t="inlineStr">
        <is>
          <t>Phase 1C</t>
        </is>
      </c>
      <c r="C23" s="5" t="inlineStr">
        <is>
          <t>Phase 1C</t>
        </is>
      </c>
      <c r="D23" s="4" t="inlineStr">
        <is>
          <t>Publish</t>
        </is>
      </c>
      <c r="E23" s="5" t="inlineStr">
        <is>
          <t>P1</t>
        </is>
      </c>
      <c r="F23" s="5" t="inlineStr">
        <is>
          <t>Manual</t>
        </is>
      </c>
      <c r="G23" s="6" t="inlineStr">
        <is>
          <t>A draft ready to publish.</t>
        </is>
      </c>
      <c r="H23" s="6" t="inlineStr">
        <is>
          <t>Open the publish confirmation.</t>
        </is>
      </c>
      <c r="I23" s="6" t="inlineStr">
        <is>
          <t>It shows Before &amp; After, the company scope and the test status.</t>
        </is>
      </c>
      <c r="J23" s="6" t="inlineStr">
        <is>
          <t>A11</t>
        </is>
      </c>
      <c r="K23" s="5" t="inlineStr">
        <is>
          <t>Not run</t>
        </is>
      </c>
      <c r="L23" s="6" t="inlineStr"/>
      <c r="M23" s="5" t="inlineStr"/>
      <c r="N23" s="4" t="inlineStr"/>
      <c r="O23" s="4" t="inlineStr"/>
      <c r="P23" s="4" t="inlineStr"/>
      <c r="Q23" s="6" t="inlineStr"/>
      <c r="R23" s="4" t="inlineStr"/>
      <c r="S23" s="4" t="inlineStr"/>
      <c r="T23" s="4" t="inlineStr"/>
      <c r="U23" s="5" t="inlineStr"/>
      <c r="V23" s="6" t="inlineStr"/>
    </row>
    <row r="24" ht="40" customHeight="1">
      <c r="A24" s="7" t="inlineStr">
        <is>
          <t>1C-20</t>
        </is>
      </c>
      <c r="B24" s="8" t="inlineStr">
        <is>
          <t>Phase 1C</t>
        </is>
      </c>
      <c r="C24" s="8" t="inlineStr">
        <is>
          <t>Phase 1C</t>
        </is>
      </c>
      <c r="D24" s="7" t="inlineStr">
        <is>
          <t>Publish</t>
        </is>
      </c>
      <c r="E24" s="8" t="inlineStr">
        <is>
          <t>P1</t>
        </is>
      </c>
      <c r="F24" s="8" t="inlineStr">
        <is>
          <t>Manual</t>
        </is>
      </c>
      <c r="G24" s="9" t="inlineStr">
        <is>
          <t>A draft ready to publish.</t>
        </is>
      </c>
      <c r="H24" s="9" t="inlineStr">
        <is>
          <t>Publish it.</t>
        </is>
      </c>
      <c r="I24" s="9" t="inlineStr">
        <is>
          <t>The live version is replaced in one step and the previous version recorded.</t>
        </is>
      </c>
      <c r="J24" s="9" t="inlineStr">
        <is>
          <t>FR-14</t>
        </is>
      </c>
      <c r="K24" s="8" t="inlineStr">
        <is>
          <t>Not run</t>
        </is>
      </c>
      <c r="L24" s="9" t="inlineStr"/>
      <c r="M24" s="8" t="inlineStr"/>
      <c r="N24" s="7" t="inlineStr"/>
      <c r="O24" s="7" t="inlineStr"/>
      <c r="P24" s="7" t="inlineStr"/>
      <c r="Q24" s="9" t="inlineStr"/>
      <c r="R24" s="7" t="inlineStr"/>
      <c r="S24" s="7" t="inlineStr"/>
      <c r="T24" s="7" t="inlineStr"/>
      <c r="U24" s="8" t="inlineStr"/>
      <c r="V24" s="9" t="inlineStr"/>
    </row>
    <row r="25" ht="40" customHeight="1">
      <c r="A25" s="4" t="inlineStr">
        <is>
          <t>1C-21</t>
        </is>
      </c>
      <c r="B25" s="5" t="inlineStr">
        <is>
          <t>Phase 1C</t>
        </is>
      </c>
      <c r="C25" s="5" t="inlineStr">
        <is>
          <t>Phase 1C</t>
        </is>
      </c>
      <c r="D25" s="4" t="inlineStr">
        <is>
          <t>Publish</t>
        </is>
      </c>
      <c r="E25" s="5" t="inlineStr">
        <is>
          <t>P1</t>
        </is>
      </c>
      <c r="F25" s="5" t="inlineStr">
        <is>
          <t>Manual</t>
        </is>
      </c>
      <c r="G25" s="6" t="inlineStr">
        <is>
          <t>An action missing required configuration.</t>
        </is>
      </c>
      <c r="H25" s="6" t="inlineStr">
        <is>
          <t>Try to publish.</t>
        </is>
      </c>
      <c r="I25" s="6" t="inlineStr">
        <is>
          <t>Publishing is blocked. The offending step is highlighted, the reason names the missing configuration, the draft stays saved, and the live version keeps running unchanged.</t>
        </is>
      </c>
      <c r="J25" s="6" t="inlineStr">
        <is>
          <t>A11</t>
        </is>
      </c>
      <c r="K25" s="5" t="inlineStr">
        <is>
          <t>Not run</t>
        </is>
      </c>
      <c r="L25" s="6" t="inlineStr"/>
      <c r="M25" s="5" t="inlineStr"/>
      <c r="N25" s="4" t="inlineStr"/>
      <c r="O25" s="4" t="inlineStr"/>
      <c r="P25" s="4" t="inlineStr"/>
      <c r="Q25" s="6" t="inlineStr"/>
      <c r="R25" s="4" t="inlineStr"/>
      <c r="S25" s="4" t="inlineStr"/>
      <c r="T25" s="4" t="inlineStr"/>
      <c r="U25" s="5" t="inlineStr"/>
      <c r="V25" s="6" t="inlineStr"/>
    </row>
    <row r="26" ht="40" customHeight="1">
      <c r="A26" s="7" t="inlineStr">
        <is>
          <t>1C-22</t>
        </is>
      </c>
      <c r="B26" s="8" t="inlineStr">
        <is>
          <t>Phase 1C</t>
        </is>
      </c>
      <c r="C26" s="8" t="inlineStr">
        <is>
          <t>Phase 1C</t>
        </is>
      </c>
      <c r="D26" s="7" t="inlineStr">
        <is>
          <t>Publish</t>
        </is>
      </c>
      <c r="E26" s="8" t="inlineStr">
        <is>
          <t>P1</t>
        </is>
      </c>
      <c r="F26" s="8" t="inlineStr">
        <is>
          <t>Manual</t>
        </is>
      </c>
      <c r="G26" s="9" t="inlineStr">
        <is>
          <t>A deleted target stage referenced.</t>
        </is>
      </c>
      <c r="H26" s="9" t="inlineStr">
        <is>
          <t>Try to publish.</t>
        </is>
      </c>
      <c r="I26" s="9" t="inlineStr">
        <is>
          <t>Publishing is blocked. The step referencing the deleted stage is highlighted, the draft stays saved, and the live version keeps running unchanged.</t>
        </is>
      </c>
      <c r="J26" s="9" t="inlineStr">
        <is>
          <t>A11</t>
        </is>
      </c>
      <c r="K26" s="8" t="inlineStr">
        <is>
          <t>Not run</t>
        </is>
      </c>
      <c r="L26" s="9" t="inlineStr"/>
      <c r="M26" s="8" t="inlineStr"/>
      <c r="N26" s="7" t="inlineStr"/>
      <c r="O26" s="7" t="inlineStr"/>
      <c r="P26" s="7" t="inlineStr"/>
      <c r="Q26" s="9" t="inlineStr"/>
      <c r="R26" s="7" t="inlineStr"/>
      <c r="S26" s="7" t="inlineStr"/>
      <c r="T26" s="7" t="inlineStr"/>
      <c r="U26" s="8" t="inlineStr"/>
      <c r="V26" s="9" t="inlineStr"/>
    </row>
    <row r="27" ht="40" customHeight="1">
      <c r="A27" s="4" t="inlineStr">
        <is>
          <t>1C-23</t>
        </is>
      </c>
      <c r="B27" s="5" t="inlineStr">
        <is>
          <t>Phase 1C</t>
        </is>
      </c>
      <c r="C27" s="5" t="inlineStr">
        <is>
          <t>Phase 1C</t>
        </is>
      </c>
      <c r="D27" s="4" t="inlineStr">
        <is>
          <t>Publish</t>
        </is>
      </c>
      <c r="E27" s="5" t="inlineStr">
        <is>
          <t>P1</t>
        </is>
      </c>
      <c r="F27" s="5" t="inlineStr">
        <is>
          <t>Manual</t>
        </is>
      </c>
      <c r="G27" s="6" t="inlineStr">
        <is>
          <t>A file-received trigger pointing at a removed request.</t>
        </is>
      </c>
      <c r="H27" s="6" t="inlineStr">
        <is>
          <t>Try to publish.</t>
        </is>
      </c>
      <c r="I27" s="6" t="inlineStr">
        <is>
          <t>Publishing is blocked. The trigger is highlighted with a reason naming the missing file request, the draft stays saved, and the live version keeps running unchanged.</t>
        </is>
      </c>
      <c r="J27" s="6" t="inlineStr">
        <is>
          <t>A11</t>
        </is>
      </c>
      <c r="K27" s="5" t="inlineStr">
        <is>
          <t>Not run</t>
        </is>
      </c>
      <c r="L27" s="6" t="inlineStr"/>
      <c r="M27" s="5" t="inlineStr"/>
      <c r="N27" s="4" t="inlineStr"/>
      <c r="O27" s="4" t="inlineStr"/>
      <c r="P27" s="4" t="inlineStr"/>
      <c r="Q27" s="6" t="inlineStr"/>
      <c r="R27" s="4" t="inlineStr"/>
      <c r="S27" s="4" t="inlineStr"/>
      <c r="T27" s="4" t="inlineStr"/>
      <c r="U27" s="5" t="inlineStr"/>
      <c r="V27" s="6" t="inlineStr"/>
    </row>
    <row r="28" ht="40" customHeight="1">
      <c r="A28" s="7" t="inlineStr">
        <is>
          <t>1C-24</t>
        </is>
      </c>
      <c r="B28" s="8" t="inlineStr">
        <is>
          <t>Phase 1C</t>
        </is>
      </c>
      <c r="C28" s="8" t="inlineStr">
        <is>
          <t>Phase 1C</t>
        </is>
      </c>
      <c r="D28" s="7" t="inlineStr">
        <is>
          <t>Publish</t>
        </is>
      </c>
      <c r="E28" s="8" t="inlineStr">
        <is>
          <t>P1</t>
        </is>
      </c>
      <c r="F28" s="8" t="inlineStr">
        <is>
          <t>Manual</t>
        </is>
      </c>
      <c r="G28" s="9" t="inlineStr">
        <is>
          <t>A branch that loops back on itself.</t>
        </is>
      </c>
      <c r="H28" s="9" t="inlineStr">
        <is>
          <t>Try to publish.</t>
        </is>
      </c>
      <c r="I28" s="9" t="inlineStr">
        <is>
          <t>Publishing is blocked. The looping branch is highlighted, the reason explains the cycle, the draft stays saved, and the live version keeps running unchanged.</t>
        </is>
      </c>
      <c r="J28" s="9" t="inlineStr">
        <is>
          <t>A11</t>
        </is>
      </c>
      <c r="K28" s="8" t="inlineStr">
        <is>
          <t>Not run</t>
        </is>
      </c>
      <c r="L28" s="9" t="inlineStr"/>
      <c r="M28" s="8" t="inlineStr"/>
      <c r="N28" s="7" t="inlineStr"/>
      <c r="O28" s="7" t="inlineStr"/>
      <c r="P28" s="7" t="inlineStr"/>
      <c r="Q28" s="9" t="inlineStr"/>
      <c r="R28" s="7" t="inlineStr"/>
      <c r="S28" s="7" t="inlineStr"/>
      <c r="T28" s="7" t="inlineStr"/>
      <c r="U28" s="8" t="inlineStr"/>
      <c r="V28" s="9" t="inlineStr"/>
    </row>
    <row r="29" ht="40" customHeight="1">
      <c r="A29" s="4" t="inlineStr">
        <is>
          <t>1C-25</t>
        </is>
      </c>
      <c r="B29" s="5" t="inlineStr">
        <is>
          <t>Phase 1C</t>
        </is>
      </c>
      <c r="C29" s="5" t="inlineStr">
        <is>
          <t>Phase 1C</t>
        </is>
      </c>
      <c r="D29" s="4" t="inlineStr">
        <is>
          <t>Publish</t>
        </is>
      </c>
      <c r="E29" s="5" t="inlineStr">
        <is>
          <t>P1</t>
        </is>
      </c>
      <c r="F29" s="5" t="inlineStr">
        <is>
          <t>Manual</t>
        </is>
      </c>
      <c r="G29" s="6" t="inlineStr">
        <is>
          <t>A protected milestone used as a move target.</t>
        </is>
      </c>
      <c r="H29" s="6" t="inlineStr">
        <is>
          <t>Try to publish.</t>
        </is>
      </c>
      <c r="I29" s="6" t="inlineStr">
        <is>
          <t>Publishing is blocked. The move step is highlighted with a reason stating that protected milestones cannot be a move target, and the live version keeps running unchanged.</t>
        </is>
      </c>
      <c r="J29" s="6" t="inlineStr">
        <is>
          <t>A11</t>
        </is>
      </c>
      <c r="K29" s="5" t="inlineStr">
        <is>
          <t>Not run</t>
        </is>
      </c>
      <c r="L29" s="6" t="inlineStr"/>
      <c r="M29" s="5" t="inlineStr"/>
      <c r="N29" s="4" t="inlineStr"/>
      <c r="O29" s="4" t="inlineStr"/>
      <c r="P29" s="4" t="inlineStr"/>
      <c r="Q29" s="6" t="inlineStr"/>
      <c r="R29" s="4" t="inlineStr"/>
      <c r="S29" s="4" t="inlineStr"/>
      <c r="T29" s="4" t="inlineStr"/>
      <c r="U29" s="5" t="inlineStr"/>
      <c r="V29" s="6" t="inlineStr"/>
    </row>
    <row r="30" ht="40" customHeight="1">
      <c r="A30" s="7" t="inlineStr">
        <is>
          <t>1C-26</t>
        </is>
      </c>
      <c r="B30" s="8" t="inlineStr">
        <is>
          <t>Phase 1C</t>
        </is>
      </c>
      <c r="C30" s="8" t="inlineStr">
        <is>
          <t>Phase 1C</t>
        </is>
      </c>
      <c r="D30" s="7" t="inlineStr">
        <is>
          <t>Publish</t>
        </is>
      </c>
      <c r="E30" s="8" t="inlineStr">
        <is>
          <t>P1</t>
        </is>
      </c>
      <c r="F30" s="8" t="inlineStr">
        <is>
          <t>Manual</t>
        </is>
      </c>
      <c r="G30" s="9" t="inlineStr">
        <is>
          <t>A wait that cannot end.</t>
        </is>
      </c>
      <c r="H30" s="9" t="inlineStr">
        <is>
          <t>Try to publish.</t>
        </is>
      </c>
      <c r="I30" s="9" t="inlineStr">
        <is>
          <t>Publishing is blocked. The wait step is highlighted with a reason stating it has no safe ending, and the live version keeps running unchanged.</t>
        </is>
      </c>
      <c r="J30" s="9" t="inlineStr">
        <is>
          <t>A11</t>
        </is>
      </c>
      <c r="K30" s="8" t="inlineStr">
        <is>
          <t>Not run</t>
        </is>
      </c>
      <c r="L30" s="9" t="inlineStr"/>
      <c r="M30" s="8" t="inlineStr"/>
      <c r="N30" s="7" t="inlineStr"/>
      <c r="O30" s="7" t="inlineStr"/>
      <c r="P30" s="7" t="inlineStr"/>
      <c r="Q30" s="9" t="inlineStr"/>
      <c r="R30" s="7" t="inlineStr"/>
      <c r="S30" s="7" t="inlineStr"/>
      <c r="T30" s="7" t="inlineStr"/>
      <c r="U30" s="8" t="inlineStr"/>
      <c r="V30" s="9" t="inlineStr"/>
    </row>
    <row r="31" ht="40" customHeight="1">
      <c r="A31" s="4" t="inlineStr">
        <is>
          <t>1C-27</t>
        </is>
      </c>
      <c r="B31" s="5" t="inlineStr">
        <is>
          <t>Phase 1C</t>
        </is>
      </c>
      <c r="C31" s="5" t="inlineStr">
        <is>
          <t>Phase 1C</t>
        </is>
      </c>
      <c r="D31" s="4" t="inlineStr">
        <is>
          <t>State</t>
        </is>
      </c>
      <c r="E31" s="5" t="inlineStr">
        <is>
          <t>P1</t>
        </is>
      </c>
      <c r="F31" s="5" t="inlineStr">
        <is>
          <t>Manual</t>
        </is>
      </c>
      <c r="G31" s="6" t="inlineStr">
        <is>
          <t>A published Automation.</t>
        </is>
      </c>
      <c r="H31" s="6" t="inlineStr">
        <is>
          <t>Toggle it Active then Inactive.</t>
        </is>
      </c>
      <c r="I31" s="6" t="inlineStr">
        <is>
          <t>The change takes effect immediately: an inactive Automation stops running, and both Map and List show the new state.</t>
        </is>
      </c>
      <c r="J31" s="6" t="inlineStr">
        <is>
          <t>FR-15 / AC-BLD-12</t>
        </is>
      </c>
      <c r="K31" s="5" t="inlineStr">
        <is>
          <t>Not run</t>
        </is>
      </c>
      <c r="L31" s="6" t="inlineStr"/>
      <c r="M31" s="5" t="inlineStr"/>
      <c r="N31" s="4" t="inlineStr"/>
      <c r="O31" s="4" t="inlineStr"/>
      <c r="P31" s="4" t="inlineStr"/>
      <c r="Q31" s="6" t="inlineStr"/>
      <c r="R31" s="4" t="inlineStr"/>
      <c r="S31" s="4" t="inlineStr"/>
      <c r="T31" s="4" t="inlineStr"/>
      <c r="U31" s="5" t="inlineStr"/>
      <c r="V31" s="6" t="inlineStr"/>
    </row>
    <row r="32" ht="40" customHeight="1">
      <c r="A32" s="7" t="inlineStr">
        <is>
          <t>1C-28</t>
        </is>
      </c>
      <c r="B32" s="8" t="inlineStr">
        <is>
          <t>Phase 1C</t>
        </is>
      </c>
      <c r="C32" s="8" t="inlineStr">
        <is>
          <t>Phase 1C</t>
        </is>
      </c>
      <c r="D32" s="7" t="inlineStr">
        <is>
          <t>State</t>
        </is>
      </c>
      <c r="E32" s="8" t="inlineStr">
        <is>
          <t>P1</t>
        </is>
      </c>
      <c r="F32" s="8" t="inlineStr">
        <is>
          <t>Manual</t>
        </is>
      </c>
      <c r="G32" s="9" t="inlineStr">
        <is>
          <t>A pipeline with several Automations.</t>
        </is>
      </c>
      <c r="H32" s="9" t="inlineStr">
        <is>
          <t>Pause then resume at pipeline level.</t>
        </is>
      </c>
      <c r="I32" s="9" t="inlineStr">
        <is>
          <t>All Automations in the pipeline follow. The counts on Map and List stay in step.</t>
        </is>
      </c>
      <c r="J32" s="9" t="inlineStr">
        <is>
          <t>A9</t>
        </is>
      </c>
      <c r="K32" s="8" t="inlineStr">
        <is>
          <t>Not run</t>
        </is>
      </c>
      <c r="L32" s="9" t="inlineStr"/>
      <c r="M32" s="8" t="inlineStr"/>
      <c r="N32" s="7" t="inlineStr"/>
      <c r="O32" s="7" t="inlineStr"/>
      <c r="P32" s="7" t="inlineStr"/>
      <c r="Q32" s="9" t="inlineStr"/>
      <c r="R32" s="7" t="inlineStr"/>
      <c r="S32" s="7" t="inlineStr"/>
      <c r="T32" s="7" t="inlineStr"/>
      <c r="U32" s="8" t="inlineStr"/>
      <c r="V32" s="9" t="inlineStr"/>
    </row>
    <row r="33" ht="40" customHeight="1">
      <c r="A33" s="4" t="inlineStr">
        <is>
          <t>1C-29</t>
        </is>
      </c>
      <c r="B33" s="5" t="inlineStr">
        <is>
          <t>Phase 1C</t>
        </is>
      </c>
      <c r="C33" s="5" t="inlineStr">
        <is>
          <t>Phase 1C</t>
        </is>
      </c>
      <c r="D33" s="4" t="inlineStr">
        <is>
          <t>State</t>
        </is>
      </c>
      <c r="E33" s="5" t="inlineStr">
        <is>
          <t>P2</t>
        </is>
      </c>
      <c r="F33" s="5" t="inlineStr">
        <is>
          <t>Manual</t>
        </is>
      </c>
      <c r="G33" s="6" t="inlineStr">
        <is>
          <t>Pipeline paused with impact comparison shown.</t>
        </is>
      </c>
      <c r="H33" s="6" t="inlineStr">
        <is>
          <t>Compare it with a single-Automation test.</t>
        </is>
      </c>
      <c r="I33" s="6" t="inlineStr">
        <is>
          <t>The two are visibly different features and are not confused in the interface.</t>
        </is>
      </c>
      <c r="J33" s="6" t="inlineStr">
        <is>
          <t>A11</t>
        </is>
      </c>
      <c r="K33" s="5" t="inlineStr">
        <is>
          <t>Not run</t>
        </is>
      </c>
      <c r="L33" s="6" t="inlineStr"/>
      <c r="M33" s="5" t="inlineStr"/>
      <c r="N33" s="4" t="inlineStr"/>
      <c r="O33" s="4" t="inlineStr"/>
      <c r="P33" s="4" t="inlineStr"/>
      <c r="Q33" s="6" t="inlineStr"/>
      <c r="R33" s="4" t="inlineStr"/>
      <c r="S33" s="4" t="inlineStr"/>
      <c r="T33" s="4" t="inlineStr"/>
      <c r="U33" s="5" t="inlineStr"/>
      <c r="V33" s="6" t="inlineStr"/>
    </row>
    <row r="34" ht="40" customHeight="1">
      <c r="A34" s="7" t="inlineStr">
        <is>
          <t>1C-30</t>
        </is>
      </c>
      <c r="B34" s="8" t="inlineStr">
        <is>
          <t>Phase 1C</t>
        </is>
      </c>
      <c r="C34" s="8" t="inlineStr">
        <is>
          <t>Phase 1C</t>
        </is>
      </c>
      <c r="D34" s="7" t="inlineStr">
        <is>
          <t>History</t>
        </is>
      </c>
      <c r="E34" s="8" t="inlineStr">
        <is>
          <t>P1</t>
        </is>
      </c>
      <c r="F34" s="8" t="inlineStr">
        <is>
          <t>Manual</t>
        </is>
      </c>
      <c r="G34" s="9" t="inlineStr">
        <is>
          <t>An Automation published twice.</t>
        </is>
      </c>
      <c r="H34" s="9" t="inlineStr">
        <is>
          <t>Open change history.</t>
        </is>
      </c>
      <c r="I34" s="9" t="inlineStr">
        <is>
          <t>Each entry records the version, the company scope, the user and the timestamp.</t>
        </is>
      </c>
      <c r="J34" s="9" t="inlineStr">
        <is>
          <t>FR-10</t>
        </is>
      </c>
      <c r="K34" s="8" t="inlineStr">
        <is>
          <t>Not run</t>
        </is>
      </c>
      <c r="L34" s="9" t="inlineStr"/>
      <c r="M34" s="8" t="inlineStr"/>
      <c r="N34" s="7" t="inlineStr"/>
      <c r="O34" s="7" t="inlineStr"/>
      <c r="P34" s="7" t="inlineStr"/>
      <c r="Q34" s="9" t="inlineStr"/>
      <c r="R34" s="7" t="inlineStr"/>
      <c r="S34" s="7" t="inlineStr"/>
      <c r="T34" s="7" t="inlineStr"/>
      <c r="U34" s="8" t="inlineStr"/>
      <c r="V34" s="9" t="inlineStr"/>
    </row>
    <row r="35" ht="40" customHeight="1">
      <c r="A35" s="4" t="inlineStr">
        <is>
          <t>1C-31</t>
        </is>
      </c>
      <c r="B35" s="5" t="inlineStr">
        <is>
          <t>Phase 1C</t>
        </is>
      </c>
      <c r="C35" s="5" t="inlineStr">
        <is>
          <t>Phase 1C</t>
        </is>
      </c>
      <c r="D35" s="4" t="inlineStr">
        <is>
          <t>File request</t>
        </is>
      </c>
      <c r="E35" s="5" t="inlineStr">
        <is>
          <t>P1</t>
        </is>
      </c>
      <c r="F35" s="5" t="inlineStr">
        <is>
          <t>Manual</t>
        </is>
      </c>
      <c r="G35" s="6" t="inlineStr">
        <is>
          <t>Building a flow with a requested-file-received trigger.</t>
        </is>
      </c>
      <c r="H35" s="6" t="inlineStr">
        <is>
          <t>Save without selecting a named request.</t>
        </is>
      </c>
      <c r="I35" s="6" t="inlineStr">
        <is>
          <t>Saving is refused. The trigger is highlighted with a reason that a real named file request must be selected first, and no partial flow is stored.</t>
        </is>
      </c>
      <c r="J35" s="6" t="inlineStr">
        <is>
          <t>FR-20 / AC-RUN-01</t>
        </is>
      </c>
      <c r="K35" s="5" t="inlineStr">
        <is>
          <t>Not run</t>
        </is>
      </c>
      <c r="L35" s="6" t="inlineStr"/>
      <c r="M35" s="5" t="inlineStr"/>
      <c r="N35" s="4" t="inlineStr"/>
      <c r="O35" s="4" t="inlineStr"/>
      <c r="P35" s="4" t="inlineStr"/>
      <c r="Q35" s="6" t="inlineStr"/>
      <c r="R35" s="4" t="inlineStr"/>
      <c r="S35" s="4" t="inlineStr"/>
      <c r="T35" s="4" t="inlineStr"/>
      <c r="U35" s="5" t="inlineStr"/>
      <c r="V35" s="6" t="inlineStr"/>
    </row>
    <row r="36" ht="40" customHeight="1">
      <c r="A36" s="7" t="inlineStr">
        <is>
          <t>1C-32</t>
        </is>
      </c>
      <c r="B36" s="8" t="inlineStr">
        <is>
          <t>Phase 1C</t>
        </is>
      </c>
      <c r="C36" s="8" t="inlineStr">
        <is>
          <t>Phase 1C</t>
        </is>
      </c>
      <c r="D36" s="7" t="inlineStr">
        <is>
          <t>File request</t>
        </is>
      </c>
      <c r="E36" s="8" t="inlineStr">
        <is>
          <t>P1</t>
        </is>
      </c>
      <c r="F36" s="8" t="inlineStr">
        <is>
          <t>Manual</t>
        </is>
      </c>
      <c r="G36" s="9" t="inlineStr">
        <is>
          <t>A Deal with an open file request.</t>
        </is>
      </c>
      <c r="H36" s="9" t="inlineStr">
        <is>
          <t>Upload the matching file.</t>
        </is>
      </c>
      <c r="I36" s="9" t="inlineStr">
        <is>
          <t>The requirement resolves automatically across focus, history and card status.</t>
        </is>
      </c>
      <c r="J36" s="9" t="inlineStr">
        <is>
          <t>FR-20</t>
        </is>
      </c>
      <c r="K36" s="8" t="inlineStr">
        <is>
          <t>Not run</t>
        </is>
      </c>
      <c r="L36" s="9" t="inlineStr"/>
      <c r="M36" s="8" t="inlineStr"/>
      <c r="N36" s="7" t="inlineStr"/>
      <c r="O36" s="7" t="inlineStr"/>
      <c r="P36" s="7" t="inlineStr"/>
      <c r="Q36" s="9" t="inlineStr"/>
      <c r="R36" s="7" t="inlineStr"/>
      <c r="S36" s="7" t="inlineStr"/>
      <c r="T36" s="7" t="inlineStr"/>
      <c r="U36" s="8" t="inlineStr"/>
      <c r="V36" s="9" t="inlineStr"/>
    </row>
    <row r="37" ht="40" customHeight="1">
      <c r="A37" s="4" t="inlineStr">
        <is>
          <t>1C-33</t>
        </is>
      </c>
      <c r="B37" s="5" t="inlineStr">
        <is>
          <t>Phase 1C</t>
        </is>
      </c>
      <c r="C37" s="5" t="inlineStr">
        <is>
          <t>Phase 1C</t>
        </is>
      </c>
      <c r="D37" s="4" t="inlineStr">
        <is>
          <t>Required work</t>
        </is>
      </c>
      <c r="E37" s="5" t="inlineStr">
        <is>
          <t>P1</t>
        </is>
      </c>
      <c r="F37" s="5" t="inlineStr">
        <is>
          <t>Manual</t>
        </is>
      </c>
      <c r="G37" s="6" t="inlineStr">
        <is>
          <t>A Deal with three outstanding requirements.</t>
        </is>
      </c>
      <c r="H37" s="6" t="inlineStr">
        <is>
          <t>Attempt a stage move.</t>
        </is>
      </c>
      <c r="I37" s="6" t="inlineStr">
        <is>
          <t>All three listed, Continue disabled, each resolvable inline, original action resumes when empty.</t>
        </is>
      </c>
      <c r="J37" s="6" t="inlineStr">
        <is>
          <t>FR-19 / AC-RUN-02</t>
        </is>
      </c>
      <c r="K37" s="5" t="inlineStr">
        <is>
          <t>Not run</t>
        </is>
      </c>
      <c r="L37" s="6" t="inlineStr"/>
      <c r="M37" s="5" t="inlineStr"/>
      <c r="N37" s="4" t="inlineStr"/>
      <c r="O37" s="4" t="inlineStr"/>
      <c r="P37" s="4" t="inlineStr"/>
      <c r="Q37" s="6" t="inlineStr"/>
      <c r="R37" s="4" t="inlineStr"/>
      <c r="S37" s="4" t="inlineStr"/>
      <c r="T37" s="4" t="inlineStr"/>
      <c r="U37" s="5" t="inlineStr"/>
      <c r="V37" s="6" t="inlineStr"/>
    </row>
    <row r="38" ht="40" customHeight="1">
      <c r="A38" s="7" t="inlineStr">
        <is>
          <t>1C-34</t>
        </is>
      </c>
      <c r="B38" s="8" t="inlineStr">
        <is>
          <t>Phase 1C</t>
        </is>
      </c>
      <c r="C38" s="8" t="inlineStr">
        <is>
          <t>Phase 1C</t>
        </is>
      </c>
      <c r="D38" s="7" t="inlineStr">
        <is>
          <t>Required work</t>
        </is>
      </c>
      <c r="E38" s="8" t="inlineStr">
        <is>
          <t>P1</t>
        </is>
      </c>
      <c r="F38" s="8" t="inlineStr">
        <is>
          <t>Manual</t>
        </is>
      </c>
      <c r="G38" s="9" t="inlineStr">
        <is>
          <t>Ten or more outstanding requirements.</t>
        </is>
      </c>
      <c r="H38" s="9" t="inlineStr">
        <is>
          <t>Attempt the blocked action.</t>
        </is>
      </c>
      <c r="I38" s="9" t="inlineStr">
        <is>
          <t>Every outstanding item is listed with a scrollable dialog. Nothing is truncated, and the count in the heading matches the number of rows.</t>
        </is>
      </c>
      <c r="J38" s="9" t="inlineStr">
        <is>
          <t>A12</t>
        </is>
      </c>
      <c r="K38" s="8" t="inlineStr">
        <is>
          <t>Not run</t>
        </is>
      </c>
      <c r="L38" s="9" t="inlineStr"/>
      <c r="M38" s="8" t="inlineStr"/>
      <c r="N38" s="7" t="inlineStr"/>
      <c r="O38" s="7" t="inlineStr"/>
      <c r="P38" s="7" t="inlineStr"/>
      <c r="Q38" s="9" t="inlineStr"/>
      <c r="R38" s="7" t="inlineStr"/>
      <c r="S38" s="7" t="inlineStr"/>
      <c r="T38" s="7" t="inlineStr"/>
      <c r="U38" s="8" t="inlineStr"/>
      <c r="V38" s="9" t="inlineStr"/>
    </row>
    <row r="39" ht="40" customHeight="1">
      <c r="A39" s="4" t="inlineStr">
        <is>
          <t>1C-35</t>
        </is>
      </c>
      <c r="B39" s="5" t="inlineStr">
        <is>
          <t>Phase 1C</t>
        </is>
      </c>
      <c r="C39" s="5" t="inlineStr">
        <is>
          <t>Phase 1C</t>
        </is>
      </c>
      <c r="D39" s="4" t="inlineStr">
        <is>
          <t>Required work</t>
        </is>
      </c>
      <c r="E39" s="5" t="inlineStr">
        <is>
          <t>P1</t>
        </is>
      </c>
      <c r="F39" s="5" t="inlineStr">
        <is>
          <t>Manual</t>
        </is>
      </c>
      <c r="G39" s="6" t="inlineStr">
        <is>
          <t>A blocked quote-lifecycle action.</t>
        </is>
      </c>
      <c r="H39" s="6" t="inlineStr">
        <is>
          <t>Clear the list.</t>
        </is>
      </c>
      <c r="I39" s="6" t="inlineStr">
        <is>
          <t>The exact original operation resumes, not a generic fallback.</t>
        </is>
      </c>
      <c r="J39" s="6" t="inlineStr">
        <is>
          <t>FR-19</t>
        </is>
      </c>
      <c r="K39" s="5" t="inlineStr">
        <is>
          <t>Not run</t>
        </is>
      </c>
      <c r="L39" s="6" t="inlineStr"/>
      <c r="M39" s="5" t="inlineStr"/>
      <c r="N39" s="4" t="inlineStr"/>
      <c r="O39" s="4" t="inlineStr"/>
      <c r="P39" s="4" t="inlineStr"/>
      <c r="Q39" s="6" t="inlineStr"/>
      <c r="R39" s="4" t="inlineStr"/>
      <c r="S39" s="4" t="inlineStr"/>
      <c r="T39" s="4" t="inlineStr"/>
      <c r="U39" s="5" t="inlineStr"/>
      <c r="V39" s="6" t="inlineStr"/>
    </row>
    <row r="40" ht="40" customHeight="1">
      <c r="A40" s="7" t="inlineStr">
        <is>
          <t>1C-36</t>
        </is>
      </c>
      <c r="B40" s="8" t="inlineStr">
        <is>
          <t>Phase 1C</t>
        </is>
      </c>
      <c r="C40" s="8" t="inlineStr">
        <is>
          <t>Phase 1C</t>
        </is>
      </c>
      <c r="D40" s="7" t="inlineStr">
        <is>
          <t>Handoff</t>
        </is>
      </c>
      <c r="E40" s="8" t="inlineStr">
        <is>
          <t>P2</t>
        </is>
      </c>
      <c r="F40" s="8" t="inlineStr">
        <is>
          <t>Manual</t>
        </is>
      </c>
      <c r="G40" s="9" t="inlineStr">
        <is>
          <t>Phase 1C shipped.</t>
        </is>
      </c>
      <c r="H40" s="9" t="inlineStr">
        <is>
          <t>Open a recipe as an editable copy.</t>
        </is>
      </c>
      <c r="I40" s="9" t="inlineStr">
        <is>
          <t>The live recipe keeps running; the copy is independent and the move is stated as one-way.</t>
        </is>
      </c>
      <c r="J40" s="9" t="inlineStr">
        <is>
          <t>FR-04</t>
        </is>
      </c>
      <c r="K40" s="8" t="inlineStr">
        <is>
          <t>Not run</t>
        </is>
      </c>
      <c r="L40" s="9" t="inlineStr"/>
      <c r="M40" s="8" t="inlineStr"/>
      <c r="N40" s="7" t="inlineStr"/>
      <c r="O40" s="7" t="inlineStr"/>
      <c r="P40" s="7" t="inlineStr"/>
      <c r="Q40" s="9" t="inlineStr"/>
      <c r="R40" s="7" t="inlineStr"/>
      <c r="S40" s="7" t="inlineStr"/>
      <c r="T40" s="7" t="inlineStr"/>
      <c r="U40" s="8" t="inlineStr"/>
      <c r="V40" s="9" t="inlineStr"/>
    </row>
  </sheetData>
  <autoFilter ref="A4:V40"/>
  <conditionalFormatting sqref="K5:K4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  <cfRule type="cellIs" priority="5" operator="equal" dxfId="4">
      <formula>"Not run"</formula>
    </cfRule>
  </conditionalFormatting>
  <dataValidations count="3">
    <dataValidation sqref="K5:K40" showDropDown="0" showInputMessage="0" showErrorMessage="0" allowBlank="0" type="list">
      <formula1>"Not run,Pass,Fail,Blocked,N/A"</formula1>
    </dataValidation>
    <dataValidation sqref="E5:E40" showDropDown="0" showInputMessage="0" showErrorMessage="0" allowBlank="0" type="list">
      <formula1>"P1,P2,P3"</formula1>
    </dataValidation>
    <dataValidation sqref="F5:F40" showDropDown="0" showInputMessage="0" showErrorMessage="0" allowBlank="0" type="list">
      <formula1>"Manual,Automated,Both"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5" customWidth="1" min="5" max="5"/>
    <col width="10" customWidth="1" min="6" max="6"/>
    <col width="30" customWidth="1" min="7" max="7"/>
    <col width="38" customWidth="1" min="8" max="8"/>
    <col width="44" customWidth="1" min="9" max="9"/>
    <col width="20" customWidth="1" min="10" max="10"/>
    <col width="11" customWidth="1" min="11" max="11"/>
    <col width="26" customWidth="1" min="12" max="12"/>
    <col width="10" customWidth="1" min="13" max="13"/>
    <col width="12" customWidth="1" min="14" max="14"/>
    <col width="14" customWidth="1" min="15" max="15"/>
    <col width="16" customWidth="1" min="16" max="16"/>
    <col width="22" customWidth="1" min="17" max="17"/>
    <col width="11" customWidth="1" min="18" max="18"/>
    <col width="15" customWidth="1" min="19" max="19"/>
    <col width="10" customWidth="1" min="20" max="20"/>
    <col width="11" customWidth="1" min="21" max="21"/>
    <col width="22" customWidth="1" min="22" max="22"/>
  </cols>
  <sheetData>
    <row r="1">
      <c r="A1" s="1" t="inlineStr">
        <is>
          <t>QA checklist — Regression</t>
        </is>
      </c>
    </row>
    <row r="2">
      <c r="A2" s="2" t="inlineStr">
        <is>
          <t>The six rules that must not drift. Each states the earliest release it applies from.</t>
        </is>
      </c>
    </row>
    <row r="3">
      <c r="A3" s="2" t="inlineStr">
        <is>
          <t>Fill in from Status onwards. Everything to the left describes the test.</t>
        </is>
      </c>
    </row>
    <row r="4">
      <c r="A4" s="3" t="inlineStr">
        <is>
          <t>ID</t>
        </is>
      </c>
      <c r="B4" s="3" t="inlineStr">
        <is>
          <t>Release</t>
        </is>
      </c>
      <c r="C4" s="3" t="inlineStr">
        <is>
          <t>Applies from</t>
        </is>
      </c>
      <c r="D4" s="3" t="inlineStr">
        <is>
          <t>Area</t>
        </is>
      </c>
      <c r="E4" s="3" t="inlineStr">
        <is>
          <t>Pri</t>
        </is>
      </c>
      <c r="F4" s="3" t="inlineStr">
        <is>
          <t>Method</t>
        </is>
      </c>
      <c r="G4" s="3" t="inlineStr">
        <is>
          <t>Precondition</t>
        </is>
      </c>
      <c r="H4" s="3" t="inlineStr">
        <is>
          <t>Steps</t>
        </is>
      </c>
      <c r="I4" s="3" t="inlineStr">
        <is>
          <t>Expected result</t>
        </is>
      </c>
      <c r="J4" s="3" t="inlineStr">
        <is>
          <t>Traces to</t>
        </is>
      </c>
      <c r="K4" s="3" t="inlineStr">
        <is>
          <t>Status</t>
        </is>
      </c>
      <c r="L4" s="3" t="inlineStr">
        <is>
          <t>Actual result</t>
        </is>
      </c>
      <c r="M4" s="3" t="inlineStr">
        <is>
          <t>Build</t>
        </is>
      </c>
      <c r="N4" s="3" t="inlineStr">
        <is>
          <t>Environment</t>
        </is>
      </c>
      <c r="O4" s="3" t="inlineStr">
        <is>
          <t>Browser / device</t>
        </is>
      </c>
      <c r="P4" s="3" t="inlineStr">
        <is>
          <t>Test data</t>
        </is>
      </c>
      <c r="Q4" s="3" t="inlineStr">
        <is>
          <t>Evidence link</t>
        </is>
      </c>
      <c r="R4" s="3" t="inlineStr">
        <is>
          <t>Defect ID</t>
        </is>
      </c>
      <c r="S4" s="3" t="inlineStr">
        <is>
          <t>Waiver approved by</t>
        </is>
      </c>
      <c r="T4" s="3" t="inlineStr">
        <is>
          <t>Tester</t>
        </is>
      </c>
      <c r="U4" s="3" t="inlineStr">
        <is>
          <t>Date</t>
        </is>
      </c>
      <c r="V4" s="3" t="inlineStr">
        <is>
          <t>Notes</t>
        </is>
      </c>
    </row>
    <row r="5" ht="40" customHeight="1">
      <c r="A5" s="4" t="inlineStr">
        <is>
          <t>REG-01</t>
        </is>
      </c>
      <c r="B5" s="5" t="inlineStr">
        <is>
          <t>Regression</t>
        </is>
      </c>
      <c r="C5" s="5" t="inlineStr">
        <is>
          <t>Phase 1A</t>
        </is>
      </c>
      <c r="D5" s="4" t="inlineStr">
        <is>
          <t>Locked rule 1</t>
        </is>
      </c>
      <c r="E5" s="5" t="inlineStr">
        <is>
          <t>P1</t>
        </is>
      </c>
      <c r="F5" s="5" t="inlineStr">
        <is>
          <t>Automated</t>
        </is>
      </c>
      <c r="G5" s="6" t="inlineStr">
        <is>
          <t>Any release.</t>
        </is>
      </c>
      <c r="H5" s="6" t="inlineStr">
        <is>
          <t>Create the first related quote on a Qualified Deal.</t>
        </is>
      </c>
      <c r="I5" s="6" t="inlineStr">
        <is>
          <t>The Deal moves to In Progress.</t>
        </is>
      </c>
      <c r="J5" s="6" t="inlineStr">
        <is>
          <t>Locked rule 1</t>
        </is>
      </c>
      <c r="K5" s="5" t="inlineStr">
        <is>
          <t>Not run</t>
        </is>
      </c>
      <c r="L5" s="6" t="inlineStr"/>
      <c r="M5" s="5" t="inlineStr"/>
      <c r="N5" s="4" t="inlineStr"/>
      <c r="O5" s="4" t="inlineStr"/>
      <c r="P5" s="4" t="inlineStr"/>
      <c r="Q5" s="6" t="inlineStr"/>
      <c r="R5" s="4" t="inlineStr"/>
      <c r="S5" s="4" t="inlineStr"/>
      <c r="T5" s="4" t="inlineStr"/>
      <c r="U5" s="5" t="inlineStr"/>
      <c r="V5" s="6" t="inlineStr"/>
    </row>
    <row r="6" ht="40" customHeight="1">
      <c r="A6" s="7" t="inlineStr">
        <is>
          <t>REG-02</t>
        </is>
      </c>
      <c r="B6" s="8" t="inlineStr">
        <is>
          <t>Regression</t>
        </is>
      </c>
      <c r="C6" s="8" t="inlineStr">
        <is>
          <t>Phase 1A</t>
        </is>
      </c>
      <c r="D6" s="7" t="inlineStr">
        <is>
          <t>Locked rule 2</t>
        </is>
      </c>
      <c r="E6" s="8" t="inlineStr">
        <is>
          <t>P1</t>
        </is>
      </c>
      <c r="F6" s="8" t="inlineStr">
        <is>
          <t>Automated</t>
        </is>
      </c>
      <c r="G6" s="9" t="inlineStr">
        <is>
          <t>Any release.</t>
        </is>
      </c>
      <c r="H6" s="9" t="inlineStr">
        <is>
          <t>Accept any one relevant quote.</t>
        </is>
      </c>
      <c r="I6" s="9" t="inlineStr">
        <is>
          <t>The Deal becomes Won. Remaining groups change value only.</t>
        </is>
      </c>
      <c r="J6" s="9" t="inlineStr">
        <is>
          <t>Locked rule 2</t>
        </is>
      </c>
      <c r="K6" s="8" t="inlineStr">
        <is>
          <t>Not run</t>
        </is>
      </c>
      <c r="L6" s="9" t="inlineStr"/>
      <c r="M6" s="8" t="inlineStr"/>
      <c r="N6" s="7" t="inlineStr"/>
      <c r="O6" s="7" t="inlineStr"/>
      <c r="P6" s="7" t="inlineStr"/>
      <c r="Q6" s="9" t="inlineStr"/>
      <c r="R6" s="7" t="inlineStr"/>
      <c r="S6" s="7" t="inlineStr"/>
      <c r="T6" s="7" t="inlineStr"/>
      <c r="U6" s="8" t="inlineStr"/>
      <c r="V6" s="9" t="inlineStr"/>
    </row>
    <row r="7" ht="40" customHeight="1">
      <c r="A7" s="4" t="inlineStr">
        <is>
          <t>REG-03</t>
        </is>
      </c>
      <c r="B7" s="5" t="inlineStr">
        <is>
          <t>Regression</t>
        </is>
      </c>
      <c r="C7" s="5" t="inlineStr">
        <is>
          <t>Phase 1A</t>
        </is>
      </c>
      <c r="D7" s="4" t="inlineStr">
        <is>
          <t>Locked rule 3</t>
        </is>
      </c>
      <c r="E7" s="5" t="inlineStr">
        <is>
          <t>P1</t>
        </is>
      </c>
      <c r="F7" s="5" t="inlineStr">
        <is>
          <t>Automated</t>
        </is>
      </c>
      <c r="G7" s="6" t="inlineStr">
        <is>
          <t>Any release.</t>
        </is>
      </c>
      <c r="H7" s="6" t="inlineStr">
        <is>
          <t>Reach a state where no viable quote remains.</t>
        </is>
      </c>
      <c r="I7" s="6" t="inlineStr">
        <is>
          <t>Lost is derived. Sales supplies the reason and cannot change the outcome.</t>
        </is>
      </c>
      <c r="J7" s="6" t="inlineStr">
        <is>
          <t>Locked rule 3</t>
        </is>
      </c>
      <c r="K7" s="5" t="inlineStr">
        <is>
          <t>Not run</t>
        </is>
      </c>
      <c r="L7" s="6" t="inlineStr"/>
      <c r="M7" s="5" t="inlineStr"/>
      <c r="N7" s="4" t="inlineStr"/>
      <c r="O7" s="4" t="inlineStr"/>
      <c r="P7" s="4" t="inlineStr"/>
      <c r="Q7" s="6" t="inlineStr"/>
      <c r="R7" s="4" t="inlineStr"/>
      <c r="S7" s="4" t="inlineStr"/>
      <c r="T7" s="4" t="inlineStr"/>
      <c r="U7" s="5" t="inlineStr"/>
      <c r="V7" s="6" t="inlineStr"/>
    </row>
    <row r="8" ht="40" customHeight="1">
      <c r="A8" s="7" t="inlineStr">
        <is>
          <t>REG-04</t>
        </is>
      </c>
      <c r="B8" s="8" t="inlineStr">
        <is>
          <t>Regression</t>
        </is>
      </c>
      <c r="C8" s="8" t="inlineStr">
        <is>
          <t>Phase 1C</t>
        </is>
      </c>
      <c r="D8" s="7" t="inlineStr">
        <is>
          <t>Locked rule 4</t>
        </is>
      </c>
      <c r="E8" s="8" t="inlineStr">
        <is>
          <t>P1</t>
        </is>
      </c>
      <c r="F8" s="8" t="inlineStr">
        <is>
          <t>Manual</t>
        </is>
      </c>
      <c r="G8" s="9" t="inlineStr">
        <is>
          <t>Authoring exists.</t>
        </is>
      </c>
      <c r="H8" s="9" t="inlineStr">
        <is>
          <t>Publish a valid change without testing.</t>
        </is>
      </c>
      <c r="I8" s="9" t="inlineStr">
        <is>
          <t>Allowed. Only a real conflict blocks publishing.</t>
        </is>
      </c>
      <c r="J8" s="9" t="inlineStr">
        <is>
          <t>Locked rule 4</t>
        </is>
      </c>
      <c r="K8" s="8" t="inlineStr">
        <is>
          <t>Not run</t>
        </is>
      </c>
      <c r="L8" s="9" t="inlineStr"/>
      <c r="M8" s="8" t="inlineStr"/>
      <c r="N8" s="7" t="inlineStr"/>
      <c r="O8" s="7" t="inlineStr"/>
      <c r="P8" s="7" t="inlineStr"/>
      <c r="Q8" s="9" t="inlineStr"/>
      <c r="R8" s="7" t="inlineStr"/>
      <c r="S8" s="7" t="inlineStr"/>
      <c r="T8" s="7" t="inlineStr"/>
      <c r="U8" s="8" t="inlineStr"/>
      <c r="V8" s="9" t="inlineStr"/>
    </row>
    <row r="9" ht="40" customHeight="1">
      <c r="A9" s="4" t="inlineStr">
        <is>
          <t>REG-05</t>
        </is>
      </c>
      <c r="B9" s="5" t="inlineStr">
        <is>
          <t>Regression</t>
        </is>
      </c>
      <c r="C9" s="5" t="inlineStr">
        <is>
          <t>Phase 2</t>
        </is>
      </c>
      <c r="D9" s="4" t="inlineStr">
        <is>
          <t>Locked rule 5</t>
        </is>
      </c>
      <c r="E9" s="5" t="inlineStr">
        <is>
          <t>P1</t>
        </is>
      </c>
      <c r="F9" s="5" t="inlineStr">
        <is>
          <t>Manual</t>
        </is>
      </c>
      <c r="G9" s="6" t="inlineStr">
        <is>
          <t>Custom stages exist.</t>
        </is>
      </c>
      <c r="H9" s="6" t="inlineStr">
        <is>
          <t>Place the same custom stage in different lifecycle gaps.</t>
        </is>
      </c>
      <c r="I9" s="6" t="inlineStr">
        <is>
          <t>The core block library offered is identical every time.</t>
        </is>
      </c>
      <c r="J9" s="6" t="inlineStr">
        <is>
          <t>Locked rule 5</t>
        </is>
      </c>
      <c r="K9" s="5" t="inlineStr">
        <is>
          <t>Not run</t>
        </is>
      </c>
      <c r="L9" s="6" t="inlineStr"/>
      <c r="M9" s="5" t="inlineStr"/>
      <c r="N9" s="4" t="inlineStr"/>
      <c r="O9" s="4" t="inlineStr"/>
      <c r="P9" s="4" t="inlineStr"/>
      <c r="Q9" s="6" t="inlineStr"/>
      <c r="R9" s="4" t="inlineStr"/>
      <c r="S9" s="4" t="inlineStr"/>
      <c r="T9" s="4" t="inlineStr"/>
      <c r="U9" s="5" t="inlineStr"/>
      <c r="V9" s="6" t="inlineStr"/>
    </row>
    <row r="10" ht="40" customHeight="1">
      <c r="A10" s="7" t="inlineStr">
        <is>
          <t>REG-06</t>
        </is>
      </c>
      <c r="B10" s="8" t="inlineStr">
        <is>
          <t>Regression</t>
        </is>
      </c>
      <c r="C10" s="8" t="inlineStr">
        <is>
          <t>Phase 1A</t>
        </is>
      </c>
      <c r="D10" s="7" t="inlineStr">
        <is>
          <t>Locked rule 6</t>
        </is>
      </c>
      <c r="E10" s="8" t="inlineStr">
        <is>
          <t>P1</t>
        </is>
      </c>
      <c r="F10" s="8" t="inlineStr">
        <is>
          <t>Automated</t>
        </is>
      </c>
      <c r="G10" s="9" t="inlineStr">
        <is>
          <t>Any release.</t>
        </is>
      </c>
      <c r="H10" s="9" t="inlineStr">
        <is>
          <t>Search the action catalogue for approve, send, accept, Won or Lost.</t>
        </is>
      </c>
      <c r="I10" s="9" t="inlineStr">
        <is>
          <t>None exists as an action.</t>
        </is>
      </c>
      <c r="J10" s="9" t="inlineStr">
        <is>
          <t>Locked rule 6</t>
        </is>
      </c>
      <c r="K10" s="8" t="inlineStr">
        <is>
          <t>Not run</t>
        </is>
      </c>
      <c r="L10" s="9" t="inlineStr"/>
      <c r="M10" s="8" t="inlineStr"/>
      <c r="N10" s="7" t="inlineStr"/>
      <c r="O10" s="7" t="inlineStr"/>
      <c r="P10" s="7" t="inlineStr"/>
      <c r="Q10" s="9" t="inlineStr"/>
      <c r="R10" s="7" t="inlineStr"/>
      <c r="S10" s="7" t="inlineStr"/>
      <c r="T10" s="7" t="inlineStr"/>
      <c r="U10" s="8" t="inlineStr"/>
      <c r="V10" s="9" t="inlineStr"/>
    </row>
  </sheetData>
  <autoFilter ref="A4:V10"/>
  <conditionalFormatting sqref="K5:K1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  <cfRule type="cellIs" priority="5" operator="equal" dxfId="4">
      <formula>"Not run"</formula>
    </cfRule>
  </conditionalFormatting>
  <dataValidations count="3">
    <dataValidation sqref="K5:K10" showDropDown="0" showInputMessage="0" showErrorMessage="0" allowBlank="0" type="list">
      <formula1>"Not run,Pass,Fail,Blocked,N/A"</formula1>
    </dataValidation>
    <dataValidation sqref="E5:E10" showDropDown="0" showInputMessage="0" showErrorMessage="0" allowBlank="0" type="list">
      <formula1>"P1,P2,P3"</formula1>
    </dataValidation>
    <dataValidation sqref="F5:F10" showDropDown="0" showInputMessage="0" showErrorMessage="0" allowBlank="0" type="list">
      <formula1>"Manual,Automated,Both"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5" customWidth="1" min="5" max="5"/>
    <col width="10" customWidth="1" min="6" max="6"/>
    <col width="30" customWidth="1" min="7" max="7"/>
    <col width="38" customWidth="1" min="8" max="8"/>
    <col width="44" customWidth="1" min="9" max="9"/>
    <col width="20" customWidth="1" min="10" max="10"/>
    <col width="11" customWidth="1" min="11" max="11"/>
    <col width="26" customWidth="1" min="12" max="12"/>
    <col width="10" customWidth="1" min="13" max="13"/>
    <col width="12" customWidth="1" min="14" max="14"/>
    <col width="14" customWidth="1" min="15" max="15"/>
    <col width="16" customWidth="1" min="16" max="16"/>
    <col width="22" customWidth="1" min="17" max="17"/>
    <col width="11" customWidth="1" min="18" max="18"/>
    <col width="15" customWidth="1" min="19" max="19"/>
    <col width="10" customWidth="1" min="20" max="20"/>
    <col width="11" customWidth="1" min="21" max="21"/>
    <col width="22" customWidth="1" min="22" max="22"/>
  </cols>
  <sheetData>
    <row r="1">
      <c r="A1" s="1" t="inlineStr">
        <is>
          <t>QA checklist — Non-functional</t>
        </is>
      </c>
    </row>
    <row r="2">
      <c r="A2" s="2" t="inlineStr">
        <is>
          <t>Concurrency, event ordering, partial failure, performance, permissions, accessibility, browsers, audit and recovery.</t>
        </is>
      </c>
    </row>
    <row r="3">
      <c r="A3" s="2" t="inlineStr">
        <is>
          <t>Fill in from Status onwards.</t>
        </is>
      </c>
    </row>
    <row r="4">
      <c r="A4" s="3" t="inlineStr">
        <is>
          <t>ID</t>
        </is>
      </c>
      <c r="B4" s="3" t="inlineStr">
        <is>
          <t>Release</t>
        </is>
      </c>
      <c r="C4" s="3" t="inlineStr">
        <is>
          <t>Applies from</t>
        </is>
      </c>
      <c r="D4" s="3" t="inlineStr">
        <is>
          <t>Area</t>
        </is>
      </c>
      <c r="E4" s="3" t="inlineStr">
        <is>
          <t>Pri</t>
        </is>
      </c>
      <c r="F4" s="3" t="inlineStr">
        <is>
          <t>Method</t>
        </is>
      </c>
      <c r="G4" s="3" t="inlineStr">
        <is>
          <t>Precondition</t>
        </is>
      </c>
      <c r="H4" s="3" t="inlineStr">
        <is>
          <t>Steps</t>
        </is>
      </c>
      <c r="I4" s="3" t="inlineStr">
        <is>
          <t>Expected result</t>
        </is>
      </c>
      <c r="J4" s="3" t="inlineStr">
        <is>
          <t>Traces to</t>
        </is>
      </c>
      <c r="K4" s="3" t="inlineStr">
        <is>
          <t>Status</t>
        </is>
      </c>
      <c r="L4" s="3" t="inlineStr">
        <is>
          <t>Actual result</t>
        </is>
      </c>
      <c r="M4" s="3" t="inlineStr">
        <is>
          <t>Build</t>
        </is>
      </c>
      <c r="N4" s="3" t="inlineStr">
        <is>
          <t>Environment</t>
        </is>
      </c>
      <c r="O4" s="3" t="inlineStr">
        <is>
          <t>Browser / device</t>
        </is>
      </c>
      <c r="P4" s="3" t="inlineStr">
        <is>
          <t>Test data</t>
        </is>
      </c>
      <c r="Q4" s="3" t="inlineStr">
        <is>
          <t>Evidence link</t>
        </is>
      </c>
      <c r="R4" s="3" t="inlineStr">
        <is>
          <t>Defect ID</t>
        </is>
      </c>
      <c r="S4" s="3" t="inlineStr">
        <is>
          <t>Waiver approved by</t>
        </is>
      </c>
      <c r="T4" s="3" t="inlineStr">
        <is>
          <t>Tester</t>
        </is>
      </c>
      <c r="U4" s="3" t="inlineStr">
        <is>
          <t>Date</t>
        </is>
      </c>
      <c r="V4" s="3" t="inlineStr">
        <is>
          <t>Notes</t>
        </is>
      </c>
    </row>
    <row r="5" ht="40" customHeight="1">
      <c r="A5" s="4" t="inlineStr">
        <is>
          <t>NF-01</t>
        </is>
      </c>
      <c r="B5" s="5" t="inlineStr">
        <is>
          <t>All</t>
        </is>
      </c>
      <c r="C5" s="5" t="inlineStr">
        <is>
          <t>Phase 1A</t>
        </is>
      </c>
      <c r="D5" s="4" t="inlineStr">
        <is>
          <t>Concurrency</t>
        </is>
      </c>
      <c r="E5" s="5" t="inlineStr">
        <is>
          <t>P1</t>
        </is>
      </c>
      <c r="F5" s="5" t="inlineStr">
        <is>
          <t>Manual</t>
        </is>
      </c>
      <c r="G5" s="6" t="inlineStr">
        <is>
          <t>Two users editing the same Automation.</t>
        </is>
      </c>
      <c r="H5" s="6" t="inlineStr">
        <is>
          <t>Both save a draft, then both publish within seconds of each other.</t>
        </is>
      </c>
      <c r="I5" s="6" t="inlineStr">
        <is>
          <t>One publish succeeds; the second is refused with a message that the version moved on, and offers to reload. No silent overwrite, and the published version matches one editor's intent exactly.</t>
        </is>
      </c>
      <c r="J5" s="6" t="inlineStr">
        <is>
          <t>FR-14</t>
        </is>
      </c>
      <c r="K5" s="5" t="inlineStr">
        <is>
          <t>Not run</t>
        </is>
      </c>
      <c r="L5" s="6" t="inlineStr"/>
      <c r="M5" s="5" t="inlineStr"/>
      <c r="N5" s="4" t="inlineStr"/>
      <c r="O5" s="4" t="inlineStr"/>
      <c r="P5" s="4" t="inlineStr"/>
      <c r="Q5" s="6" t="inlineStr"/>
      <c r="R5" s="4" t="inlineStr"/>
      <c r="S5" s="4" t="inlineStr"/>
      <c r="T5" s="4" t="inlineStr"/>
      <c r="U5" s="5" t="inlineStr"/>
      <c r="V5" s="6" t="inlineStr"/>
    </row>
    <row r="6" ht="40" customHeight="1">
      <c r="A6" s="7" t="inlineStr">
        <is>
          <t>NF-02</t>
        </is>
      </c>
      <c r="B6" s="8" t="inlineStr">
        <is>
          <t>All</t>
        </is>
      </c>
      <c r="C6" s="8" t="inlineStr">
        <is>
          <t>Phase 1A</t>
        </is>
      </c>
      <c r="D6" s="7" t="inlineStr">
        <is>
          <t>Concurrency</t>
        </is>
      </c>
      <c r="E6" s="8" t="inlineStr">
        <is>
          <t>P1</t>
        </is>
      </c>
      <c r="F6" s="8" t="inlineStr">
        <is>
          <t>Manual</t>
        </is>
      </c>
      <c r="G6" s="9" t="inlineStr">
        <is>
          <t>Two users on the same Deal.</t>
        </is>
      </c>
      <c r="H6" s="9" t="inlineStr">
        <is>
          <t>Both accept a different quote in the same alternative group at the same time.</t>
        </is>
      </c>
      <c r="I6" s="9" t="inlineStr">
        <is>
          <t>Exactly one acceptance wins. The other is refused with a clear reason, and the Deal has one winner, not two.</t>
        </is>
      </c>
      <c r="J6" s="9" t="inlineStr">
        <is>
          <t>AC-DEAL-07</t>
        </is>
      </c>
      <c r="K6" s="8" t="inlineStr">
        <is>
          <t>Not run</t>
        </is>
      </c>
      <c r="L6" s="9" t="inlineStr"/>
      <c r="M6" s="8" t="inlineStr"/>
      <c r="N6" s="7" t="inlineStr"/>
      <c r="O6" s="7" t="inlineStr"/>
      <c r="P6" s="7" t="inlineStr"/>
      <c r="Q6" s="9" t="inlineStr"/>
      <c r="R6" s="7" t="inlineStr"/>
      <c r="S6" s="7" t="inlineStr"/>
      <c r="T6" s="7" t="inlineStr"/>
      <c r="U6" s="8" t="inlineStr"/>
      <c r="V6" s="9" t="inlineStr"/>
    </row>
    <row r="7" ht="40" customHeight="1">
      <c r="A7" s="4" t="inlineStr">
        <is>
          <t>NF-03</t>
        </is>
      </c>
      <c r="B7" s="5" t="inlineStr">
        <is>
          <t>All</t>
        </is>
      </c>
      <c r="C7" s="5" t="inlineStr">
        <is>
          <t>Phase 1A</t>
        </is>
      </c>
      <c r="D7" s="4" t="inlineStr">
        <is>
          <t>Event order</t>
        </is>
      </c>
      <c r="E7" s="5" t="inlineStr">
        <is>
          <t>P1</t>
        </is>
      </c>
      <c r="F7" s="5" t="inlineStr">
        <is>
          <t>Automated</t>
        </is>
      </c>
      <c r="G7" s="6" t="inlineStr">
        <is>
          <t>A Deal with one quote.</t>
        </is>
      </c>
      <c r="H7" s="6" t="inlineStr">
        <is>
          <t>Deliver the quote-sent and quote-accepted events out of order.</t>
        </is>
      </c>
      <c r="I7" s="6" t="inlineStr">
        <is>
          <t>The Deal ends in the correct final stage regardless of arrival order, and history records the true sequence of quote events.</t>
        </is>
      </c>
      <c r="J7" s="6" t="inlineStr">
        <is>
          <t>FR-16</t>
        </is>
      </c>
      <c r="K7" s="5" t="inlineStr">
        <is>
          <t>Not run</t>
        </is>
      </c>
      <c r="L7" s="6" t="inlineStr"/>
      <c r="M7" s="5" t="inlineStr"/>
      <c r="N7" s="4" t="inlineStr"/>
      <c r="O7" s="4" t="inlineStr"/>
      <c r="P7" s="4" t="inlineStr"/>
      <c r="Q7" s="6" t="inlineStr"/>
      <c r="R7" s="4" t="inlineStr"/>
      <c r="S7" s="4" t="inlineStr"/>
      <c r="T7" s="4" t="inlineStr"/>
      <c r="U7" s="5" t="inlineStr"/>
      <c r="V7" s="6" t="inlineStr"/>
    </row>
    <row r="8" ht="40" customHeight="1">
      <c r="A8" s="7" t="inlineStr">
        <is>
          <t>NF-04</t>
        </is>
      </c>
      <c r="B8" s="8" t="inlineStr">
        <is>
          <t>All</t>
        </is>
      </c>
      <c r="C8" s="8" t="inlineStr">
        <is>
          <t>Phase 1A</t>
        </is>
      </c>
      <c r="D8" s="7" t="inlineStr">
        <is>
          <t>Event order</t>
        </is>
      </c>
      <c r="E8" s="8" t="inlineStr">
        <is>
          <t>P1</t>
        </is>
      </c>
      <c r="F8" s="8" t="inlineStr">
        <is>
          <t>Automated</t>
        </is>
      </c>
      <c r="G8" s="9" t="inlineStr">
        <is>
          <t>A recipe listening to a quote event.</t>
        </is>
      </c>
      <c r="H8" s="9" t="inlineStr">
        <is>
          <t>Deliver the same event twice, ten minutes apart.</t>
        </is>
      </c>
      <c r="I8" s="9" t="inlineStr">
        <is>
          <t>The second delivery is recognised as already handled. Nothing is created twice.</t>
        </is>
      </c>
      <c r="J8" s="9" t="inlineStr">
        <is>
          <t>FR-21</t>
        </is>
      </c>
      <c r="K8" s="8" t="inlineStr">
        <is>
          <t>Not run</t>
        </is>
      </c>
      <c r="L8" s="9" t="inlineStr"/>
      <c r="M8" s="8" t="inlineStr"/>
      <c r="N8" s="7" t="inlineStr"/>
      <c r="O8" s="7" t="inlineStr"/>
      <c r="P8" s="7" t="inlineStr"/>
      <c r="Q8" s="9" t="inlineStr"/>
      <c r="R8" s="7" t="inlineStr"/>
      <c r="S8" s="7" t="inlineStr"/>
      <c r="T8" s="7" t="inlineStr"/>
      <c r="U8" s="8" t="inlineStr"/>
      <c r="V8" s="9" t="inlineStr"/>
    </row>
    <row r="9" ht="40" customHeight="1">
      <c r="A9" s="4" t="inlineStr">
        <is>
          <t>NF-05</t>
        </is>
      </c>
      <c r="B9" s="5" t="inlineStr">
        <is>
          <t>All</t>
        </is>
      </c>
      <c r="C9" s="5" t="inlineStr">
        <is>
          <t>Phase 1A</t>
        </is>
      </c>
      <c r="D9" s="4" t="inlineStr">
        <is>
          <t>Event order</t>
        </is>
      </c>
      <c r="E9" s="5" t="inlineStr">
        <is>
          <t>P2</t>
        </is>
      </c>
      <c r="F9" s="5" t="inlineStr">
        <is>
          <t>Automated</t>
        </is>
      </c>
      <c r="G9" s="6" t="inlineStr">
        <is>
          <t>An event delayed by an hour in the queue.</t>
        </is>
      </c>
      <c r="H9" s="6" t="inlineStr">
        <is>
          <t>Let it arrive late.</t>
        </is>
      </c>
      <c r="I9" s="6" t="inlineStr">
        <is>
          <t>It is processed against the Deal's state at the time of processing, and the delay is visible in the run record.</t>
        </is>
      </c>
      <c r="J9" s="6" t="inlineStr">
        <is>
          <t>FR-36</t>
        </is>
      </c>
      <c r="K9" s="5" t="inlineStr">
        <is>
          <t>Not run</t>
        </is>
      </c>
      <c r="L9" s="6" t="inlineStr"/>
      <c r="M9" s="5" t="inlineStr"/>
      <c r="N9" s="4" t="inlineStr"/>
      <c r="O9" s="4" t="inlineStr"/>
      <c r="P9" s="4" t="inlineStr"/>
      <c r="Q9" s="6" t="inlineStr"/>
      <c r="R9" s="4" t="inlineStr"/>
      <c r="S9" s="4" t="inlineStr"/>
      <c r="T9" s="4" t="inlineStr"/>
      <c r="U9" s="5" t="inlineStr"/>
      <c r="V9" s="6" t="inlineStr"/>
    </row>
    <row r="10" ht="40" customHeight="1">
      <c r="A10" s="7" t="inlineStr">
        <is>
          <t>NF-06</t>
        </is>
      </c>
      <c r="B10" s="8" t="inlineStr">
        <is>
          <t>All</t>
        </is>
      </c>
      <c r="C10" s="8" t="inlineStr">
        <is>
          <t>Phase 1A</t>
        </is>
      </c>
      <c r="D10" s="7" t="inlineStr">
        <is>
          <t>Partial failure</t>
        </is>
      </c>
      <c r="E10" s="8" t="inlineStr">
        <is>
          <t>P1</t>
        </is>
      </c>
      <c r="F10" s="8" t="inlineStr">
        <is>
          <t>Manual</t>
        </is>
      </c>
      <c r="G10" s="9" t="inlineStr">
        <is>
          <t>A recipe with three actions; the second one fails.</t>
        </is>
      </c>
      <c r="H10" s="9" t="inlineStr">
        <is>
          <t>Trigger it.</t>
        </is>
      </c>
      <c r="I10" s="9" t="inlineStr">
        <is>
          <t>The failure is recorded against the run with the step named. Completed actions are not rolled back silently, and a retry does not repeat the ones that already succeeded.</t>
        </is>
      </c>
      <c r="J10" s="9" t="inlineStr">
        <is>
          <t>FR-21</t>
        </is>
      </c>
      <c r="K10" s="8" t="inlineStr">
        <is>
          <t>Not run</t>
        </is>
      </c>
      <c r="L10" s="9" t="inlineStr"/>
      <c r="M10" s="8" t="inlineStr"/>
      <c r="N10" s="7" t="inlineStr"/>
      <c r="O10" s="7" t="inlineStr"/>
      <c r="P10" s="7" t="inlineStr"/>
      <c r="Q10" s="9" t="inlineStr"/>
      <c r="R10" s="7" t="inlineStr"/>
      <c r="S10" s="7" t="inlineStr"/>
      <c r="T10" s="7" t="inlineStr"/>
      <c r="U10" s="8" t="inlineStr"/>
      <c r="V10" s="9" t="inlineStr"/>
    </row>
    <row r="11" ht="40" customHeight="1">
      <c r="A11" s="4" t="inlineStr">
        <is>
          <t>NF-07</t>
        </is>
      </c>
      <c r="B11" s="5" t="inlineStr">
        <is>
          <t>All</t>
        </is>
      </c>
      <c r="C11" s="5" t="inlineStr">
        <is>
          <t>Phase 1A</t>
        </is>
      </c>
      <c r="D11" s="4" t="inlineStr">
        <is>
          <t>Partial failure</t>
        </is>
      </c>
      <c r="E11" s="5" t="inlineStr">
        <is>
          <t>P1</t>
        </is>
      </c>
      <c r="F11" s="5" t="inlineStr">
        <is>
          <t>Manual</t>
        </is>
      </c>
      <c r="G11" s="6" t="inlineStr">
        <is>
          <t>A recipe that failed.</t>
        </is>
      </c>
      <c r="H11" s="6" t="inlineStr">
        <is>
          <t>Open the run history.</t>
        </is>
      </c>
      <c r="I11" s="6" t="inlineStr">
        <is>
          <t>The failure, its reason, its timestamp and the affected step are all visible without needing server logs.</t>
        </is>
      </c>
      <c r="J11" s="6" t="inlineStr">
        <is>
          <t>FR-21</t>
        </is>
      </c>
      <c r="K11" s="5" t="inlineStr">
        <is>
          <t>Not run</t>
        </is>
      </c>
      <c r="L11" s="6" t="inlineStr"/>
      <c r="M11" s="5" t="inlineStr"/>
      <c r="N11" s="4" t="inlineStr"/>
      <c r="O11" s="4" t="inlineStr"/>
      <c r="P11" s="4" t="inlineStr"/>
      <c r="Q11" s="6" t="inlineStr"/>
      <c r="R11" s="4" t="inlineStr"/>
      <c r="S11" s="4" t="inlineStr"/>
      <c r="T11" s="4" t="inlineStr"/>
      <c r="U11" s="5" t="inlineStr"/>
      <c r="V11" s="6" t="inlineStr"/>
    </row>
    <row r="12" ht="40" customHeight="1">
      <c r="A12" s="7" t="inlineStr">
        <is>
          <t>NF-08</t>
        </is>
      </c>
      <c r="B12" s="8" t="inlineStr">
        <is>
          <t>All</t>
        </is>
      </c>
      <c r="C12" s="8" t="inlineStr">
        <is>
          <t>Phase 1A</t>
        </is>
      </c>
      <c r="D12" s="7" t="inlineStr">
        <is>
          <t>Performance</t>
        </is>
      </c>
      <c r="E12" s="8" t="inlineStr">
        <is>
          <t>P2</t>
        </is>
      </c>
      <c r="F12" s="8" t="inlineStr">
        <is>
          <t>Manual</t>
        </is>
      </c>
      <c r="G12" s="9" t="inlineStr">
        <is>
          <t>An organisation with several thousand Deals and quotes.</t>
        </is>
      </c>
      <c r="H12" s="9" t="inlineStr">
        <is>
          <t>Open the pipeline board and the Deal list.</t>
        </is>
      </c>
      <c r="I12" s="9" t="inlineStr">
        <is>
          <t>Both render within an acceptable time and the stage counts are correct. Note the measured time in Actual result.</t>
        </is>
      </c>
      <c r="J12" s="9" t="inlineStr">
        <is>
          <t>—</t>
        </is>
      </c>
      <c r="K12" s="8" t="inlineStr">
        <is>
          <t>Not run</t>
        </is>
      </c>
      <c r="L12" s="9" t="inlineStr"/>
      <c r="M12" s="8" t="inlineStr"/>
      <c r="N12" s="7" t="inlineStr"/>
      <c r="O12" s="7" t="inlineStr"/>
      <c r="P12" s="7" t="inlineStr"/>
      <c r="Q12" s="9" t="inlineStr"/>
      <c r="R12" s="7" t="inlineStr"/>
      <c r="S12" s="7" t="inlineStr"/>
      <c r="T12" s="7" t="inlineStr"/>
      <c r="U12" s="8" t="inlineStr"/>
      <c r="V12" s="9" t="inlineStr"/>
    </row>
    <row r="13" ht="40" customHeight="1">
      <c r="A13" s="4" t="inlineStr">
        <is>
          <t>NF-09</t>
        </is>
      </c>
      <c r="B13" s="5" t="inlineStr">
        <is>
          <t>All</t>
        </is>
      </c>
      <c r="C13" s="5" t="inlineStr">
        <is>
          <t>Phase 1A</t>
        </is>
      </c>
      <c r="D13" s="4" t="inlineStr">
        <is>
          <t>Performance</t>
        </is>
      </c>
      <c r="E13" s="5" t="inlineStr">
        <is>
          <t>P2</t>
        </is>
      </c>
      <c r="F13" s="5" t="inlineStr">
        <is>
          <t>Manual</t>
        </is>
      </c>
      <c r="G13" s="6" t="inlineStr">
        <is>
          <t>A Deal carrying a long activity history.</t>
        </is>
      </c>
      <c r="H13" s="6" t="inlineStr">
        <is>
          <t>Open the Deal.</t>
        </is>
      </c>
      <c r="I13" s="6" t="inlineStr">
        <is>
          <t>The page opens without freezing and the timeline pages or scrolls rather than loading everything at once.</t>
        </is>
      </c>
      <c r="J13" s="6" t="inlineStr">
        <is>
          <t>—</t>
        </is>
      </c>
      <c r="K13" s="5" t="inlineStr">
        <is>
          <t>Not run</t>
        </is>
      </c>
      <c r="L13" s="6" t="inlineStr"/>
      <c r="M13" s="5" t="inlineStr"/>
      <c r="N13" s="4" t="inlineStr"/>
      <c r="O13" s="4" t="inlineStr"/>
      <c r="P13" s="4" t="inlineStr"/>
      <c r="Q13" s="6" t="inlineStr"/>
      <c r="R13" s="4" t="inlineStr"/>
      <c r="S13" s="4" t="inlineStr"/>
      <c r="T13" s="4" t="inlineStr"/>
      <c r="U13" s="5" t="inlineStr"/>
      <c r="V13" s="6" t="inlineStr"/>
    </row>
    <row r="14" ht="40" customHeight="1">
      <c r="A14" s="7" t="inlineStr">
        <is>
          <t>NF-10</t>
        </is>
      </c>
      <c r="B14" s="8" t="inlineStr">
        <is>
          <t>All</t>
        </is>
      </c>
      <c r="C14" s="8" t="inlineStr">
        <is>
          <t>Phase 1A</t>
        </is>
      </c>
      <c r="D14" s="7" t="inlineStr">
        <is>
          <t>Permissions</t>
        </is>
      </c>
      <c r="E14" s="8" t="inlineStr">
        <is>
          <t>P1</t>
        </is>
      </c>
      <c r="F14" s="8" t="inlineStr">
        <is>
          <t>Manual</t>
        </is>
      </c>
      <c r="G14" s="9" t="inlineStr">
        <is>
          <t>Roles with and without CRM access.</t>
        </is>
      </c>
      <c r="H14" s="9" t="inlineStr">
        <is>
          <t>Sign in as each role and attempt to view and edit Leads, Deals and Automations.</t>
        </is>
      </c>
      <c r="I14" s="9" t="inlineStr">
        <is>
          <t>Each role sees and can change only what its permissions allow. A role without access gets a clear refusal, not an empty screen.</t>
        </is>
      </c>
      <c r="J14" s="9" t="inlineStr">
        <is>
          <t>FR-38</t>
        </is>
      </c>
      <c r="K14" s="8" t="inlineStr">
        <is>
          <t>Not run</t>
        </is>
      </c>
      <c r="L14" s="9" t="inlineStr"/>
      <c r="M14" s="8" t="inlineStr"/>
      <c r="N14" s="7" t="inlineStr"/>
      <c r="O14" s="7" t="inlineStr"/>
      <c r="P14" s="7" t="inlineStr"/>
      <c r="Q14" s="9" t="inlineStr"/>
      <c r="R14" s="7" t="inlineStr"/>
      <c r="S14" s="7" t="inlineStr"/>
      <c r="T14" s="7" t="inlineStr"/>
      <c r="U14" s="8" t="inlineStr"/>
      <c r="V14" s="9" t="inlineStr"/>
    </row>
    <row r="15" ht="40" customHeight="1">
      <c r="A15" s="4" t="inlineStr">
        <is>
          <t>NF-11</t>
        </is>
      </c>
      <c r="B15" s="5" t="inlineStr">
        <is>
          <t>All</t>
        </is>
      </c>
      <c r="C15" s="5" t="inlineStr">
        <is>
          <t>Phase 1A</t>
        </is>
      </c>
      <c r="D15" s="4" t="inlineStr">
        <is>
          <t>Permissions</t>
        </is>
      </c>
      <c r="E15" s="5" t="inlineStr">
        <is>
          <t>P1</t>
        </is>
      </c>
      <c r="F15" s="5" t="inlineStr">
        <is>
          <t>Manual</t>
        </is>
      </c>
      <c r="G15" s="6" t="inlineStr">
        <is>
          <t>A user limited to one company.</t>
        </is>
      </c>
      <c r="H15" s="6" t="inlineStr">
        <is>
          <t>Attempt to open a Deal from another company by direct URL.</t>
        </is>
      </c>
      <c r="I15" s="6" t="inlineStr">
        <is>
          <t>Refused. The record is not rendered and nothing about it leaks in the error.</t>
        </is>
      </c>
      <c r="J15" s="6" t="inlineStr">
        <is>
          <t>FR-38</t>
        </is>
      </c>
      <c r="K15" s="5" t="inlineStr">
        <is>
          <t>Not run</t>
        </is>
      </c>
      <c r="L15" s="6" t="inlineStr"/>
      <c r="M15" s="5" t="inlineStr"/>
      <c r="N15" s="4" t="inlineStr"/>
      <c r="O15" s="4" t="inlineStr"/>
      <c r="P15" s="4" t="inlineStr"/>
      <c r="Q15" s="6" t="inlineStr"/>
      <c r="R15" s="4" t="inlineStr"/>
      <c r="S15" s="4" t="inlineStr"/>
      <c r="T15" s="4" t="inlineStr"/>
      <c r="U15" s="5" t="inlineStr"/>
      <c r="V15" s="6" t="inlineStr"/>
    </row>
    <row r="16" ht="40" customHeight="1">
      <c r="A16" s="7" t="inlineStr">
        <is>
          <t>NF-12</t>
        </is>
      </c>
      <c r="B16" s="8" t="inlineStr">
        <is>
          <t>All</t>
        </is>
      </c>
      <c r="C16" s="8" t="inlineStr">
        <is>
          <t>Phase 1A</t>
        </is>
      </c>
      <c r="D16" s="7" t="inlineStr">
        <is>
          <t>Accessibility</t>
        </is>
      </c>
      <c r="E16" s="8" t="inlineStr">
        <is>
          <t>P2</t>
        </is>
      </c>
      <c r="F16" s="8" t="inlineStr">
        <is>
          <t>Manual</t>
        </is>
      </c>
      <c r="G16" s="9" t="inlineStr">
        <is>
          <t>The required-work dialog open.</t>
        </is>
      </c>
      <c r="H16" s="9" t="inlineStr">
        <is>
          <t>Navigate it with the keyboard only.</t>
        </is>
      </c>
      <c r="I16" s="9" t="inlineStr">
        <is>
          <t>Focus moves into the dialog, stays trapped inside it, every control is reachable, and Escape closes it returning focus to the trigger.</t>
        </is>
      </c>
      <c r="J16" s="9" t="inlineStr">
        <is>
          <t>—</t>
        </is>
      </c>
      <c r="K16" s="8" t="inlineStr">
        <is>
          <t>Not run</t>
        </is>
      </c>
      <c r="L16" s="9" t="inlineStr"/>
      <c r="M16" s="8" t="inlineStr"/>
      <c r="N16" s="7" t="inlineStr"/>
      <c r="O16" s="7" t="inlineStr"/>
      <c r="P16" s="7" t="inlineStr"/>
      <c r="Q16" s="9" t="inlineStr"/>
      <c r="R16" s="7" t="inlineStr"/>
      <c r="S16" s="7" t="inlineStr"/>
      <c r="T16" s="7" t="inlineStr"/>
      <c r="U16" s="8" t="inlineStr"/>
      <c r="V16" s="9" t="inlineStr"/>
    </row>
    <row r="17" ht="40" customHeight="1">
      <c r="A17" s="4" t="inlineStr">
        <is>
          <t>NF-13</t>
        </is>
      </c>
      <c r="B17" s="5" t="inlineStr">
        <is>
          <t>All</t>
        </is>
      </c>
      <c r="C17" s="5" t="inlineStr">
        <is>
          <t>Phase 1A</t>
        </is>
      </c>
      <c r="D17" s="4" t="inlineStr">
        <is>
          <t>Accessibility</t>
        </is>
      </c>
      <c r="E17" s="5" t="inlineStr">
        <is>
          <t>P2</t>
        </is>
      </c>
      <c r="F17" s="5" t="inlineStr">
        <is>
          <t>Manual</t>
        </is>
      </c>
      <c r="G17" s="6" t="inlineStr">
        <is>
          <t>The builder open.</t>
        </is>
      </c>
      <c r="H17" s="6" t="inlineStr">
        <is>
          <t>Tab through the whole editing flow.</t>
        </is>
      </c>
      <c r="I17" s="6" t="inlineStr">
        <is>
          <t>Every interactive element is reachable and has a visible focus state.</t>
        </is>
      </c>
      <c r="J17" s="6" t="inlineStr">
        <is>
          <t>—</t>
        </is>
      </c>
      <c r="K17" s="5" t="inlineStr">
        <is>
          <t>Not run</t>
        </is>
      </c>
      <c r="L17" s="6" t="inlineStr"/>
      <c r="M17" s="5" t="inlineStr"/>
      <c r="N17" s="4" t="inlineStr"/>
      <c r="O17" s="4" t="inlineStr"/>
      <c r="P17" s="4" t="inlineStr"/>
      <c r="Q17" s="6" t="inlineStr"/>
      <c r="R17" s="4" t="inlineStr"/>
      <c r="S17" s="4" t="inlineStr"/>
      <c r="T17" s="4" t="inlineStr"/>
      <c r="U17" s="5" t="inlineStr"/>
      <c r="V17" s="6" t="inlineStr"/>
    </row>
    <row r="18" ht="40" customHeight="1">
      <c r="A18" s="7" t="inlineStr">
        <is>
          <t>NF-14</t>
        </is>
      </c>
      <c r="B18" s="8" t="inlineStr">
        <is>
          <t>All</t>
        </is>
      </c>
      <c r="C18" s="8" t="inlineStr">
        <is>
          <t>Phase 1A</t>
        </is>
      </c>
      <c r="D18" s="7" t="inlineStr">
        <is>
          <t>Browsers</t>
        </is>
      </c>
      <c r="E18" s="8" t="inlineStr">
        <is>
          <t>P2</t>
        </is>
      </c>
      <c r="F18" s="8" t="inlineStr">
        <is>
          <t>Manual</t>
        </is>
      </c>
      <c r="G18" s="9" t="inlineStr">
        <is>
          <t>Supported browser matrix agreed.</t>
        </is>
      </c>
      <c r="H18" s="9" t="inlineStr">
        <is>
          <t>Run the Phase 1A smoke set on each supported browser and viewport.</t>
        </is>
      </c>
      <c r="I18" s="9" t="inlineStr">
        <is>
          <t>Behaviour and layout are consistent. Record browser and version against each run.</t>
        </is>
      </c>
      <c r="J18" s="9" t="inlineStr">
        <is>
          <t>—</t>
        </is>
      </c>
      <c r="K18" s="8" t="inlineStr">
        <is>
          <t>Not run</t>
        </is>
      </c>
      <c r="L18" s="9" t="inlineStr"/>
      <c r="M18" s="8" t="inlineStr"/>
      <c r="N18" s="7" t="inlineStr"/>
      <c r="O18" s="7" t="inlineStr"/>
      <c r="P18" s="7" t="inlineStr"/>
      <c r="Q18" s="9" t="inlineStr"/>
      <c r="R18" s="7" t="inlineStr"/>
      <c r="S18" s="7" t="inlineStr"/>
      <c r="T18" s="7" t="inlineStr"/>
      <c r="U18" s="8" t="inlineStr"/>
      <c r="V18" s="9" t="inlineStr"/>
    </row>
    <row r="19" ht="40" customHeight="1">
      <c r="A19" s="4" t="inlineStr">
        <is>
          <t>NF-15</t>
        </is>
      </c>
      <c r="B19" s="5" t="inlineStr">
        <is>
          <t>All</t>
        </is>
      </c>
      <c r="C19" s="5" t="inlineStr">
        <is>
          <t>Phase 1A</t>
        </is>
      </c>
      <c r="D19" s="4" t="inlineStr">
        <is>
          <t>Audit</t>
        </is>
      </c>
      <c r="E19" s="5" t="inlineStr">
        <is>
          <t>P1</t>
        </is>
      </c>
      <c r="F19" s="5" t="inlineStr">
        <is>
          <t>Manual</t>
        </is>
      </c>
      <c r="G19" s="6" t="inlineStr">
        <is>
          <t>A Deal with a full history.</t>
        </is>
      </c>
      <c r="H19" s="6" t="inlineStr">
        <is>
          <t>Export or review the audit trail.</t>
        </is>
      </c>
      <c r="I19" s="6" t="inlineStr">
        <is>
          <t>Every stage change, value change and Automation result is present with actor and timestamp. Nothing is missing or reordered.</t>
        </is>
      </c>
      <c r="J19" s="6" t="inlineStr">
        <is>
          <t>FR-39</t>
        </is>
      </c>
      <c r="K19" s="5" t="inlineStr">
        <is>
          <t>Not run</t>
        </is>
      </c>
      <c r="L19" s="6" t="inlineStr"/>
      <c r="M19" s="5" t="inlineStr"/>
      <c r="N19" s="4" t="inlineStr"/>
      <c r="O19" s="4" t="inlineStr"/>
      <c r="P19" s="4" t="inlineStr"/>
      <c r="Q19" s="6" t="inlineStr"/>
      <c r="R19" s="4" t="inlineStr"/>
      <c r="S19" s="4" t="inlineStr"/>
      <c r="T19" s="4" t="inlineStr"/>
      <c r="U19" s="5" t="inlineStr"/>
      <c r="V19" s="6" t="inlineStr"/>
    </row>
    <row r="20" ht="40" customHeight="1">
      <c r="A20" s="7" t="inlineStr">
        <is>
          <t>NF-16</t>
        </is>
      </c>
      <c r="B20" s="8" t="inlineStr">
        <is>
          <t>All</t>
        </is>
      </c>
      <c r="C20" s="8" t="inlineStr">
        <is>
          <t>Phase 1A</t>
        </is>
      </c>
      <c r="D20" s="7" t="inlineStr">
        <is>
          <t>Recovery</t>
        </is>
      </c>
      <c r="E20" s="8" t="inlineStr">
        <is>
          <t>P1</t>
        </is>
      </c>
      <c r="F20" s="8" t="inlineStr">
        <is>
          <t>Manual</t>
        </is>
      </c>
      <c r="G20" s="9" t="inlineStr">
        <is>
          <t>Drafts saved and timed work pending.</t>
        </is>
      </c>
      <c r="H20" s="9" t="inlineStr">
        <is>
          <t>Restart the server.</t>
        </is>
      </c>
      <c r="I20" s="9" t="inlineStr">
        <is>
          <t>Drafts, pending runs and published versions all survive. Pending work resumes on the version it started with.</t>
        </is>
      </c>
      <c r="J20" s="9" t="inlineStr">
        <is>
          <t>FR-40</t>
        </is>
      </c>
      <c r="K20" s="8" t="inlineStr">
        <is>
          <t>Not run</t>
        </is>
      </c>
      <c r="L20" s="9" t="inlineStr"/>
      <c r="M20" s="8" t="inlineStr"/>
      <c r="N20" s="7" t="inlineStr"/>
      <c r="O20" s="7" t="inlineStr"/>
      <c r="P20" s="7" t="inlineStr"/>
      <c r="Q20" s="9" t="inlineStr"/>
      <c r="R20" s="7" t="inlineStr"/>
      <c r="S20" s="7" t="inlineStr"/>
      <c r="T20" s="7" t="inlineStr"/>
      <c r="U20" s="8" t="inlineStr"/>
      <c r="V20" s="9" t="inlineStr"/>
    </row>
  </sheetData>
  <autoFilter ref="A4:V20"/>
  <conditionalFormatting sqref="K5:K20">
    <cfRule type="cellIs" priority="1" operator="equal" dxfId="0">
      <formula>"Pass"</formula>
    </cfRule>
    <cfRule type="cellIs" priority="2" operator="equal" dxfId="5">
      <formula>"Fail"</formula>
    </cfRule>
    <cfRule type="cellIs" priority="3" operator="equal" dxfId="7">
      <formula>"Blocked"</formula>
    </cfRule>
    <cfRule type="cellIs" priority="4" operator="equal" dxfId="3">
      <formula>"N/A"</formula>
    </cfRule>
    <cfRule type="cellIs" priority="5" operator="equal" dxfId="4">
      <formula>"Not run"</formula>
    </cfRule>
  </conditionalFormatting>
  <dataValidations count="3">
    <dataValidation sqref="K5:K20" showDropDown="0" showInputMessage="0" showErrorMessage="0" allowBlank="0" type="list">
      <formula1>"Not run,Pass,Fail,Blocked,N/A"</formula1>
    </dataValidation>
    <dataValidation sqref="E5:E20" showDropDown="0" showInputMessage="0" showErrorMessage="0" allowBlank="0" type="list">
      <formula1>"P1,P2,P3"</formula1>
    </dataValidation>
    <dataValidation sqref="F5:F20" showDropDown="0" showInputMessage="0" showErrorMessage="0" allowBlank="0" type="list">
      <formula1>"Manual,Automated,Both"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3" customWidth="1" min="4" max="4"/>
    <col width="16" customWidth="1" min="5" max="5"/>
    <col width="26" customWidth="1" min="6" max="6"/>
    <col width="12" customWidth="1" min="7" max="7"/>
    <col width="11" customWidth="1" min="8" max="8"/>
    <col width="11" customWidth="1" min="9" max="9"/>
    <col width="7" customWidth="1" min="10" max="10"/>
    <col width="7" customWidth="1" min="11" max="11"/>
    <col width="8" customWidth="1" min="12" max="12"/>
    <col width="6" customWidth="1" min="13" max="13"/>
    <col width="8" customWidth="1" min="14" max="14"/>
    <col width="12" customWidth="1" min="15" max="15"/>
    <col width="13" customWidth="1" min="16" max="16"/>
    <col width="30" customWidth="1" min="17" max="17"/>
  </cols>
  <sheetData>
    <row r="1">
      <c r="A1" s="1" t="inlineStr">
        <is>
          <t>Test runs</t>
        </is>
      </c>
    </row>
    <row r="2">
      <c r="A2" s="2" t="inlineStr">
        <is>
          <t>One row per execution cycle. The go / no-go decision belongs here, with who made it.</t>
        </is>
      </c>
    </row>
    <row r="4">
      <c r="A4" s="3" t="inlineStr">
        <is>
          <t>Run</t>
        </is>
      </c>
      <c r="B4" s="3" t="inlineStr">
        <is>
          <t>Release</t>
        </is>
      </c>
      <c r="C4" s="3" t="inlineStr">
        <is>
          <t>Build / commit</t>
        </is>
      </c>
      <c r="D4" s="3" t="inlineStr">
        <is>
          <t>Environment</t>
        </is>
      </c>
      <c r="E4" s="3" t="inlineStr">
        <is>
          <t>Browser / device</t>
        </is>
      </c>
      <c r="F4" s="3" t="inlineStr">
        <is>
          <t>Scope</t>
        </is>
      </c>
      <c r="G4" s="3" t="inlineStr">
        <is>
          <t>Tester</t>
        </is>
      </c>
      <c r="H4" s="3" t="inlineStr">
        <is>
          <t>Start</t>
        </is>
      </c>
      <c r="I4" s="3" t="inlineStr">
        <is>
          <t>End</t>
        </is>
      </c>
      <c r="J4" s="3" t="inlineStr">
        <is>
          <t>Pass</t>
        </is>
      </c>
      <c r="K4" s="3" t="inlineStr">
        <is>
          <t>Fail</t>
        </is>
      </c>
      <c r="L4" s="3" t="inlineStr">
        <is>
          <t>Blocked</t>
        </is>
      </c>
      <c r="M4" s="3" t="inlineStr">
        <is>
          <t>N/A</t>
        </is>
      </c>
      <c r="N4" s="3" t="inlineStr">
        <is>
          <t>Not run</t>
        </is>
      </c>
      <c r="O4" s="3" t="inlineStr">
        <is>
          <t>Go / no-go</t>
        </is>
      </c>
      <c r="P4" s="3" t="inlineStr">
        <is>
          <t>Decided by</t>
        </is>
      </c>
      <c r="Q4" s="3" t="inlineStr">
        <is>
          <t>Notes</t>
        </is>
      </c>
    </row>
    <row r="5">
      <c r="A5" s="29" t="inlineStr">
        <is>
          <t>R-01</t>
        </is>
      </c>
      <c r="B5" s="30" t="inlineStr">
        <is>
          <t>Phase 1A</t>
        </is>
      </c>
      <c r="C5" s="29" t="inlineStr">
        <is>
          <t>1A-rc3</t>
        </is>
      </c>
      <c r="D5" s="30" t="inlineStr">
        <is>
          <t>Staging</t>
        </is>
      </c>
      <c r="E5" s="29" t="inlineStr">
        <is>
          <t>Chrome 141 / macOS</t>
        </is>
      </c>
      <c r="F5" s="31" t="inlineStr">
        <is>
          <t>Full Phase 1A + applicable Regression</t>
        </is>
      </c>
      <c r="G5" s="29" t="inlineStr">
        <is>
          <t>KW</t>
        </is>
      </c>
      <c r="H5" s="30" t="inlineStr">
        <is>
          <t>2026-09-01</t>
        </is>
      </c>
      <c r="I5" s="30" t="inlineStr">
        <is>
          <t>2026-09-04</t>
        </is>
      </c>
      <c r="J5" s="30" t="n">
        <v>48</v>
      </c>
      <c r="K5" s="30" t="n">
        <v>3</v>
      </c>
      <c r="L5" s="30" t="n">
        <v>1</v>
      </c>
      <c r="M5" s="30" t="n">
        <v>2</v>
      </c>
      <c r="N5" s="30" t="n">
        <v>0</v>
      </c>
      <c r="O5" s="30" t="inlineStr">
        <is>
          <t>No-go</t>
        </is>
      </c>
      <c r="P5" s="29" t="inlineStr">
        <is>
          <t>CTO</t>
        </is>
      </c>
      <c r="Q5" s="31" t="inlineStr">
        <is>
          <t>Two S2 defects open — WQ-1183, WQ-1190</t>
        </is>
      </c>
    </row>
    <row r="6">
      <c r="A6" s="4" t="n"/>
      <c r="B6" s="5" t="n"/>
      <c r="C6" s="4" t="n"/>
      <c r="D6" s="5" t="n"/>
      <c r="E6" s="4" t="n"/>
      <c r="F6" s="6" t="n"/>
      <c r="G6" s="4" t="n"/>
      <c r="H6" s="5" t="n"/>
      <c r="I6" s="5" t="n"/>
      <c r="J6" s="5" t="n"/>
      <c r="K6" s="5" t="n"/>
      <c r="L6" s="5" t="n"/>
      <c r="M6" s="5" t="n"/>
      <c r="N6" s="5" t="n"/>
      <c r="O6" s="5" t="n"/>
      <c r="P6" s="4" t="n"/>
      <c r="Q6" s="6" t="n"/>
    </row>
    <row r="7">
      <c r="A7" s="4" t="n"/>
      <c r="B7" s="5" t="n"/>
      <c r="C7" s="4" t="n"/>
      <c r="D7" s="5" t="n"/>
      <c r="E7" s="4" t="n"/>
      <c r="F7" s="6" t="n"/>
      <c r="G7" s="4" t="n"/>
      <c r="H7" s="5" t="n"/>
      <c r="I7" s="5" t="n"/>
      <c r="J7" s="5" t="n"/>
      <c r="K7" s="5" t="n"/>
      <c r="L7" s="5" t="n"/>
      <c r="M7" s="5" t="n"/>
      <c r="N7" s="5" t="n"/>
      <c r="O7" s="5" t="n"/>
      <c r="P7" s="4" t="n"/>
      <c r="Q7" s="6" t="n"/>
    </row>
    <row r="8">
      <c r="A8" s="4" t="n"/>
      <c r="B8" s="5" t="n"/>
      <c r="C8" s="4" t="n"/>
      <c r="D8" s="5" t="n"/>
      <c r="E8" s="4" t="n"/>
      <c r="F8" s="6" t="n"/>
      <c r="G8" s="4" t="n"/>
      <c r="H8" s="5" t="n"/>
      <c r="I8" s="5" t="n"/>
      <c r="J8" s="5" t="n"/>
      <c r="K8" s="5" t="n"/>
      <c r="L8" s="5" t="n"/>
      <c r="M8" s="5" t="n"/>
      <c r="N8" s="5" t="n"/>
      <c r="O8" s="5" t="n"/>
      <c r="P8" s="4" t="n"/>
      <c r="Q8" s="6" t="n"/>
    </row>
    <row r="9">
      <c r="A9" s="4" t="n"/>
      <c r="B9" s="5" t="n"/>
      <c r="C9" s="4" t="n"/>
      <c r="D9" s="5" t="n"/>
      <c r="E9" s="4" t="n"/>
      <c r="F9" s="6" t="n"/>
      <c r="G9" s="4" t="n"/>
      <c r="H9" s="5" t="n"/>
      <c r="I9" s="5" t="n"/>
      <c r="J9" s="5" t="n"/>
      <c r="K9" s="5" t="n"/>
      <c r="L9" s="5" t="n"/>
      <c r="M9" s="5" t="n"/>
      <c r="N9" s="5" t="n"/>
      <c r="O9" s="5" t="n"/>
      <c r="P9" s="4" t="n"/>
      <c r="Q9" s="6" t="n"/>
    </row>
    <row r="10">
      <c r="A10" s="4" t="n"/>
      <c r="B10" s="5" t="n"/>
      <c r="C10" s="4" t="n"/>
      <c r="D10" s="5" t="n"/>
      <c r="E10" s="4" t="n"/>
      <c r="F10" s="6" t="n"/>
      <c r="G10" s="4" t="n"/>
      <c r="H10" s="5" t="n"/>
      <c r="I10" s="5" t="n"/>
      <c r="J10" s="5" t="n"/>
      <c r="K10" s="5" t="n"/>
      <c r="L10" s="5" t="n"/>
      <c r="M10" s="5" t="n"/>
      <c r="N10" s="5" t="n"/>
      <c r="O10" s="5" t="n"/>
      <c r="P10" s="4" t="n"/>
      <c r="Q10" s="6" t="n"/>
    </row>
    <row r="11">
      <c r="A11" s="4" t="n"/>
      <c r="B11" s="5" t="n"/>
      <c r="C11" s="4" t="n"/>
      <c r="D11" s="5" t="n"/>
      <c r="E11" s="4" t="n"/>
      <c r="F11" s="6" t="n"/>
      <c r="G11" s="4" t="n"/>
      <c r="H11" s="5" t="n"/>
      <c r="I11" s="5" t="n"/>
      <c r="J11" s="5" t="n"/>
      <c r="K11" s="5" t="n"/>
      <c r="L11" s="5" t="n"/>
      <c r="M11" s="5" t="n"/>
      <c r="N11" s="5" t="n"/>
      <c r="O11" s="5" t="n"/>
      <c r="P11" s="4" t="n"/>
      <c r="Q11" s="6" t="n"/>
    </row>
    <row r="12">
      <c r="A12" s="4" t="n"/>
      <c r="B12" s="5" t="n"/>
      <c r="C12" s="4" t="n"/>
      <c r="D12" s="5" t="n"/>
      <c r="E12" s="4" t="n"/>
      <c r="F12" s="6" t="n"/>
      <c r="G12" s="4" t="n"/>
      <c r="H12" s="5" t="n"/>
      <c r="I12" s="5" t="n"/>
      <c r="J12" s="5" t="n"/>
      <c r="K12" s="5" t="n"/>
      <c r="L12" s="5" t="n"/>
      <c r="M12" s="5" t="n"/>
      <c r="N12" s="5" t="n"/>
      <c r="O12" s="5" t="n"/>
      <c r="P12" s="4" t="n"/>
      <c r="Q12" s="6" t="n"/>
    </row>
    <row r="13">
      <c r="A13" s="4" t="n"/>
      <c r="B13" s="5" t="n"/>
      <c r="C13" s="4" t="n"/>
      <c r="D13" s="5" t="n"/>
      <c r="E13" s="4" t="n"/>
      <c r="F13" s="6" t="n"/>
      <c r="G13" s="4" t="n"/>
      <c r="H13" s="5" t="n"/>
      <c r="I13" s="5" t="n"/>
      <c r="J13" s="5" t="n"/>
      <c r="K13" s="5" t="n"/>
      <c r="L13" s="5" t="n"/>
      <c r="M13" s="5" t="n"/>
      <c r="N13" s="5" t="n"/>
      <c r="O13" s="5" t="n"/>
      <c r="P13" s="4" t="n"/>
      <c r="Q13" s="6" t="n"/>
    </row>
    <row r="14">
      <c r="A14" s="4" t="n"/>
      <c r="B14" s="5" t="n"/>
      <c r="C14" s="4" t="n"/>
      <c r="D14" s="5" t="n"/>
      <c r="E14" s="4" t="n"/>
      <c r="F14" s="6" t="n"/>
      <c r="G14" s="4" t="n"/>
      <c r="H14" s="5" t="n"/>
      <c r="I14" s="5" t="n"/>
      <c r="J14" s="5" t="n"/>
      <c r="K14" s="5" t="n"/>
      <c r="L14" s="5" t="n"/>
      <c r="M14" s="5" t="n"/>
      <c r="N14" s="5" t="n"/>
      <c r="O14" s="5" t="n"/>
      <c r="P14" s="4" t="n"/>
      <c r="Q14" s="6" t="n"/>
    </row>
    <row r="15">
      <c r="A15" s="4" t="n"/>
      <c r="B15" s="5" t="n"/>
      <c r="C15" s="4" t="n"/>
      <c r="D15" s="5" t="n"/>
      <c r="E15" s="4" t="n"/>
      <c r="F15" s="6" t="n"/>
      <c r="G15" s="4" t="n"/>
      <c r="H15" s="5" t="n"/>
      <c r="I15" s="5" t="n"/>
      <c r="J15" s="5" t="n"/>
      <c r="K15" s="5" t="n"/>
      <c r="L15" s="5" t="n"/>
      <c r="M15" s="5" t="n"/>
      <c r="N15" s="5" t="n"/>
      <c r="O15" s="5" t="n"/>
      <c r="P15" s="4" t="n"/>
      <c r="Q15" s="6" t="n"/>
    </row>
    <row r="16">
      <c r="A16" s="4" t="n"/>
      <c r="B16" s="5" t="n"/>
      <c r="C16" s="4" t="n"/>
      <c r="D16" s="5" t="n"/>
      <c r="E16" s="4" t="n"/>
      <c r="F16" s="6" t="n"/>
      <c r="G16" s="4" t="n"/>
      <c r="H16" s="5" t="n"/>
      <c r="I16" s="5" t="n"/>
      <c r="J16" s="5" t="n"/>
      <c r="K16" s="5" t="n"/>
      <c r="L16" s="5" t="n"/>
      <c r="M16" s="5" t="n"/>
      <c r="N16" s="5" t="n"/>
      <c r="O16" s="5" t="n"/>
      <c r="P16" s="4" t="n"/>
      <c r="Q16" s="6" t="n"/>
    </row>
    <row r="17">
      <c r="A17" s="4" t="n"/>
      <c r="B17" s="5" t="n"/>
      <c r="C17" s="4" t="n"/>
      <c r="D17" s="5" t="n"/>
      <c r="E17" s="4" t="n"/>
      <c r="F17" s="6" t="n"/>
      <c r="G17" s="4" t="n"/>
      <c r="H17" s="5" t="n"/>
      <c r="I17" s="5" t="n"/>
      <c r="J17" s="5" t="n"/>
      <c r="K17" s="5" t="n"/>
      <c r="L17" s="5" t="n"/>
      <c r="M17" s="5" t="n"/>
      <c r="N17" s="5" t="n"/>
      <c r="O17" s="5" t="n"/>
      <c r="P17" s="4" t="n"/>
      <c r="Q17" s="6" t="n"/>
    </row>
    <row r="18">
      <c r="A18" s="4" t="n"/>
      <c r="B18" s="5" t="n"/>
      <c r="C18" s="4" t="n"/>
      <c r="D18" s="5" t="n"/>
      <c r="E18" s="4" t="n"/>
      <c r="F18" s="6" t="n"/>
      <c r="G18" s="4" t="n"/>
      <c r="H18" s="5" t="n"/>
      <c r="I18" s="5" t="n"/>
      <c r="J18" s="5" t="n"/>
      <c r="K18" s="5" t="n"/>
      <c r="L18" s="5" t="n"/>
      <c r="M18" s="5" t="n"/>
      <c r="N18" s="5" t="n"/>
      <c r="O18" s="5" t="n"/>
      <c r="P18" s="4" t="n"/>
      <c r="Q18" s="6" t="n"/>
    </row>
    <row r="19">
      <c r="A19" s="4" t="n"/>
      <c r="B19" s="5" t="n"/>
      <c r="C19" s="4" t="n"/>
      <c r="D19" s="5" t="n"/>
      <c r="E19" s="4" t="n"/>
      <c r="F19" s="6" t="n"/>
      <c r="G19" s="4" t="n"/>
      <c r="H19" s="5" t="n"/>
      <c r="I19" s="5" t="n"/>
      <c r="J19" s="5" t="n"/>
      <c r="K19" s="5" t="n"/>
      <c r="L19" s="5" t="n"/>
      <c r="M19" s="5" t="n"/>
      <c r="N19" s="5" t="n"/>
      <c r="O19" s="5" t="n"/>
      <c r="P19" s="4" t="n"/>
      <c r="Q19" s="6" t="n"/>
    </row>
    <row r="20">
      <c r="A20" s="4" t="n"/>
      <c r="B20" s="5" t="n"/>
      <c r="C20" s="4" t="n"/>
      <c r="D20" s="5" t="n"/>
      <c r="E20" s="4" t="n"/>
      <c r="F20" s="6" t="n"/>
      <c r="G20" s="4" t="n"/>
      <c r="H20" s="5" t="n"/>
      <c r="I20" s="5" t="n"/>
      <c r="J20" s="5" t="n"/>
      <c r="K20" s="5" t="n"/>
      <c r="L20" s="5" t="n"/>
      <c r="M20" s="5" t="n"/>
      <c r="N20" s="5" t="n"/>
      <c r="O20" s="5" t="n"/>
      <c r="P20" s="4" t="n"/>
      <c r="Q20" s="6" t="n"/>
    </row>
    <row r="21">
      <c r="A21" s="4" t="n"/>
      <c r="B21" s="5" t="n"/>
      <c r="C21" s="4" t="n"/>
      <c r="D21" s="5" t="n"/>
      <c r="E21" s="4" t="n"/>
      <c r="F21" s="6" t="n"/>
      <c r="G21" s="4" t="n"/>
      <c r="H21" s="5" t="n"/>
      <c r="I21" s="5" t="n"/>
      <c r="J21" s="5" t="n"/>
      <c r="K21" s="5" t="n"/>
      <c r="L21" s="5" t="n"/>
      <c r="M21" s="5" t="n"/>
      <c r="N21" s="5" t="n"/>
      <c r="O21" s="5" t="n"/>
      <c r="P21" s="4" t="n"/>
      <c r="Q21" s="6" t="n"/>
    </row>
    <row r="22">
      <c r="A22" s="4" t="n"/>
      <c r="B22" s="5" t="n"/>
      <c r="C22" s="4" t="n"/>
      <c r="D22" s="5" t="n"/>
      <c r="E22" s="4" t="n"/>
      <c r="F22" s="6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4" t="n"/>
      <c r="Q22" s="6" t="n"/>
    </row>
    <row r="23">
      <c r="A23" s="4" t="n"/>
      <c r="B23" s="5" t="n"/>
      <c r="C23" s="4" t="n"/>
      <c r="D23" s="5" t="n"/>
      <c r="E23" s="4" t="n"/>
      <c r="F23" s="6" t="n"/>
      <c r="G23" s="4" t="n"/>
      <c r="H23" s="5" t="n"/>
      <c r="I23" s="5" t="n"/>
      <c r="J23" s="5" t="n"/>
      <c r="K23" s="5" t="n"/>
      <c r="L23" s="5" t="n"/>
      <c r="M23" s="5" t="n"/>
      <c r="N23" s="5" t="n"/>
      <c r="O23" s="5" t="n"/>
      <c r="P23" s="4" t="n"/>
      <c r="Q23" s="6" t="n"/>
    </row>
    <row r="24">
      <c r="A24" s="4" t="n"/>
      <c r="B24" s="5" t="n"/>
      <c r="C24" s="4" t="n"/>
      <c r="D24" s="5" t="n"/>
      <c r="E24" s="4" t="n"/>
      <c r="F24" s="6" t="n"/>
      <c r="G24" s="4" t="n"/>
      <c r="H24" s="5" t="n"/>
      <c r="I24" s="5" t="n"/>
      <c r="J24" s="5" t="n"/>
      <c r="K24" s="5" t="n"/>
      <c r="L24" s="5" t="n"/>
      <c r="M24" s="5" t="n"/>
      <c r="N24" s="5" t="n"/>
      <c r="O24" s="5" t="n"/>
      <c r="P24" s="4" t="n"/>
      <c r="Q24" s="6" t="n"/>
    </row>
    <row r="25">
      <c r="A25" s="4" t="n"/>
      <c r="B25" s="5" t="n"/>
      <c r="C25" s="4" t="n"/>
      <c r="D25" s="5" t="n"/>
      <c r="E25" s="4" t="n"/>
      <c r="F25" s="6" t="n"/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4" t="n"/>
      <c r="Q25" s="6" t="n"/>
    </row>
    <row r="27">
      <c r="A27" s="2" t="inlineStr">
        <is>
          <t>Row 5 is a worked example — overwrite or delete it before the first real run.</t>
        </is>
      </c>
    </row>
  </sheetData>
  <conditionalFormatting sqref="O5:O25">
    <cfRule type="cellIs" priority="1" operator="equal" dxfId="0">
      <formula>"Go"</formula>
    </cfRule>
    <cfRule type="cellIs" priority="2" operator="equal" dxfId="5">
      <formula>"No-go"</formula>
    </cfRule>
    <cfRule type="cellIs" priority="3" operator="equal" dxfId="6">
      <formula>"Conditional go"</formula>
    </cfRule>
  </conditionalFormatting>
  <dataValidations count="1">
    <dataValidation sqref="O5:O25" showDropDown="0" showInputMessage="0" showErrorMessage="0" allowBlank="1" type="list">
      <formula1>"Go,No-go,Conditional go"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2026-08-24T03:12:09Z</dcterms:created>
  <dcterms:modified xsi:type="dcterms:W3CDTF">2026-08-24T03:12:10Z</dcterms:modified>
</cp:coreProperties>
</file>